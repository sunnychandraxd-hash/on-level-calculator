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 History" sheetId="1" r:id="rId1"/>
    <sheet name="WP Onleveling" sheetId="2" r:id="rId2"/>
    <sheet name="CY EP Onleveling" sheetId="3" r:id="rId3"/>
    <sheet name="PY EP Onleveling" sheetId="4" r:id="rId4"/>
  </sheets>
  <calcPr calcId="124519" fullCalcOnLoad="1"/>
</workbook>
</file>

<file path=xl/sharedStrings.xml><?xml version="1.0" encoding="utf-8"?>
<sst xmlns="http://schemas.openxmlformats.org/spreadsheetml/2006/main" count="76" uniqueCount="71">
  <si>
    <t>Date</t>
  </si>
  <si>
    <t>Rate Change</t>
  </si>
  <si>
    <t>Cumulative Level</t>
  </si>
  <si>
    <t>Base (Pre-2018)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</si>
  <si>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</si>
  <si>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</si>
  <si>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</si>
  <si>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</si>
  <si>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</si>
  <si>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</si>
  <si>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</si>
  <si>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2025-01-01</t>
  </si>
  <si>
    <t>Evaluation Level:</t>
  </si>
  <si>
    <t>Year</t>
  </si>
  <si>
    <t>Written Premium ($)</t>
  </si>
  <si>
    <t>Mid-Year Date</t>
  </si>
  <si>
    <t>Historic Level at Date</t>
  </si>
  <si>
    <t>Factor (Current/Historic)</t>
  </si>
  <si>
    <t>OnLevel Premium</t>
  </si>
  <si>
    <t>2015-07-01</t>
  </si>
  <si>
    <t>2016-07-01</t>
  </si>
  <si>
    <t>2017-07-01</t>
  </si>
  <si>
    <t>2018-07-01</t>
  </si>
  <si>
    <t>2019-07-01</t>
  </si>
  <si>
    <t>2020-07-01</t>
  </si>
  <si>
    <t>2021-07-01</t>
  </si>
  <si>
    <t>2022-07-01</t>
  </si>
  <si>
    <t>2023-07-01</t>
  </si>
  <si>
    <t>2024-07-01</t>
  </si>
  <si>
    <t>Earned Premium ($)</t>
  </si>
  <si>
    <t>Month 1 Lvl</t>
  </si>
  <si>
    <t>Month 2 Lvl</t>
  </si>
  <si>
    <t>Month 3 Lvl</t>
  </si>
  <si>
    <t>Month 4 Lvl</t>
  </si>
  <si>
    <t>Month 5 Lvl</t>
  </si>
  <si>
    <t>Month 6 Lvl</t>
  </si>
  <si>
    <t>Month 7 Lvl</t>
  </si>
  <si>
    <t>Month 8 Lvl</t>
  </si>
  <si>
    <t>Month 9 Lvl</t>
  </si>
  <si>
    <t>Month 10 Lvl</t>
  </si>
  <si>
    <t>Month 11 Lvl</t>
  </si>
  <si>
    <t>Month 12 Lvl</t>
  </si>
  <si>
    <t>Average Auth Level</t>
  </si>
  <si>
    <t>Factor (Current/Avg)</t>
  </si>
  <si>
    <t>M1 Lvl</t>
  </si>
  <si>
    <t>M2 Lvl</t>
  </si>
  <si>
    <t>M3 Lvl</t>
  </si>
  <si>
    <t>M4 Lvl</t>
  </si>
  <si>
    <t>M5 Lvl</t>
  </si>
  <si>
    <t>M6 Lvl</t>
  </si>
  <si>
    <t>M7 Lvl</t>
  </si>
  <si>
    <t>M8 Lvl</t>
  </si>
  <si>
    <t>M9 Lvl</t>
  </si>
  <si>
    <t>M10 Lvl</t>
  </si>
  <si>
    <t>M11 Lvl</t>
  </si>
  <si>
    <t>M12 Lvl</t>
  </si>
  <si>
    <t>M13 Lvl</t>
  </si>
  <si>
    <t>M14 Lvl</t>
  </si>
  <si>
    <t>M15 Lvl</t>
  </si>
  <si>
    <t>M16 Lvl</t>
  </si>
  <si>
    <t>M17 Lvl</t>
  </si>
  <si>
    <t>M18 Lvl</t>
  </si>
  <si>
    <t>M19 Lvl</t>
  </si>
  <si>
    <t>M20 Lvl</t>
  </si>
  <si>
    <t>M21 Lvl</t>
  </si>
  <si>
    <t>M22 Lvl</t>
  </si>
  <si>
    <t>M23 Lvl</t>
  </si>
  <si>
    <t>M24 Lvl</t>
  </si>
  <si>
    <t>Triangular Avg Level</t>
  </si>
  <si>
    <t>Factor</t>
  </si>
  <si>
    <t>Distribution Weights -&gt;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</si>
</sst>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00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0" fillId="3" borderId="0" xfId="0" applyNumberFormat="1" applyFill="1"/>
    <xf numFmtId="166" fontId="0" fillId="0" borderId="0" xfId="0" applyNumberFormat="1"/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0</v>
      </c>
      <c r="C2" s="3">
        <v>1</v>
      </c>
    </row>
    <row r="3" spans="1:3">
      <c r="A3" t="s">
        <v>4</v>
      </c>
      <c r="B3" s="2">
        <v>0.025</v>
      </c>
      <c r="C3" s="3">
        <v>1.025</v>
      </c>
    </row>
    <row r="4" spans="1:3">
      <c r="A4" t="s">
        <v>5</v>
      </c>
      <c r="B4" s="2">
        <v>0.03</v>
      </c>
      <c r="C4" s="3">
        <v>1.05575</v>
      </c>
    </row>
    <row r="5" spans="1:3">
      <c r="A5" t="s">
        <v>6</v>
      </c>
      <c r="B5" s="2">
        <v>-0.015</v>
      </c>
      <c r="C5" s="3">
        <v>1.03991375</v>
      </c>
    </row>
    <row r="6" spans="1:3">
      <c r="A6" t="s">
        <v>7</v>
      </c>
      <c r="B6" s="2">
        <v>0.04</v>
      </c>
      <c r="C6" s="3">
        <v>1.0815103</v>
      </c>
    </row>
    <row r="7" spans="1:3">
      <c r="A7" t="s">
        <v>8</v>
      </c>
      <c r="B7" s="2">
        <v>0.05</v>
      </c>
      <c r="C7" s="3">
        <v>1.135585815</v>
      </c>
    </row>
    <row r="8" spans="1:3">
      <c r="A8" t="s">
        <v>9</v>
      </c>
      <c r="B8" s="2">
        <v>0.035</v>
      </c>
      <c r="C8" s="3">
        <v>1.175331318525</v>
      </c>
    </row>
    <row r="9" spans="1:3">
      <c r="A9" t="s">
        <v>10</v>
      </c>
      <c r="B9" s="2">
        <v>0.02</v>
      </c>
      <c r="C9" s="3">
        <v>1.1988379448955</v>
      </c>
    </row>
    <row r="10" spans="1:3">
      <c r="A10" t="s">
        <v>11</v>
      </c>
      <c r="B10" s="2">
        <v>0.015</v>
      </c>
      <c r="C10" s="3">
        <v>1.216820514068932</v>
      </c>
    </row>
    <row r="12" spans="1:3">
      <c r="A12" s="4" t="s">
        <v>12</v>
      </c>
      <c r="C12" s="5">
        <v>1.216820514068932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>
        <v>2015</v>
      </c>
      <c r="B2" s="6">
        <v>367378</v>
      </c>
      <c r="C2" t="s">
        <v>19</v>
      </c>
      <c r="D2" s="3">
        <v>1</v>
      </c>
      <c r="E2" s="5">
        <f>'Rate History'!C10 / D2</f>
        <v>0</v>
      </c>
      <c r="F2" s="7">
        <f>B2 * E2</f>
        <v>0</v>
      </c>
    </row>
    <row r="3" spans="1:6">
      <c r="A3">
        <v>2016</v>
      </c>
      <c r="B3" s="6">
        <v>104582</v>
      </c>
      <c r="C3" t="s">
        <v>20</v>
      </c>
      <c r="D3" s="3">
        <v>1</v>
      </c>
      <c r="E3" s="5">
        <f>'Rate History'!C10 / D3</f>
        <v>0</v>
      </c>
      <c r="F3" s="7">
        <f>B3 * E3</f>
        <v>0</v>
      </c>
    </row>
    <row r="4" spans="1:6">
      <c r="A4">
        <v>2017</v>
      </c>
      <c r="B4" s="6">
        <v>497650</v>
      </c>
      <c r="C4" t="s">
        <v>21</v>
      </c>
      <c r="D4" s="3">
        <v>1</v>
      </c>
      <c r="E4" s="5">
        <f>'Rate History'!C10 / D4</f>
        <v>0</v>
      </c>
      <c r="F4" s="7">
        <f>B4 * E4</f>
        <v>0</v>
      </c>
    </row>
    <row r="5" spans="1:6">
      <c r="A5">
        <v>2018</v>
      </c>
      <c r="B5" s="6">
        <v>321482</v>
      </c>
      <c r="C5" t="s">
        <v>22</v>
      </c>
      <c r="D5" s="3">
        <v>1.025</v>
      </c>
      <c r="E5" s="5">
        <f>'Rate History'!C10 / D5</f>
        <v>0</v>
      </c>
      <c r="F5" s="7">
        <f>B5 * E5</f>
        <v>0</v>
      </c>
    </row>
    <row r="6" spans="1:6">
      <c r="A6">
        <v>2019</v>
      </c>
      <c r="B6" s="6">
        <v>364931</v>
      </c>
      <c r="C6" t="s">
        <v>23</v>
      </c>
      <c r="D6" s="3">
        <v>1.05575</v>
      </c>
      <c r="E6" s="5">
        <f>'Rate History'!C10 / D6</f>
        <v>0</v>
      </c>
      <c r="F6" s="7">
        <f>B6 * E6</f>
        <v>0</v>
      </c>
    </row>
    <row r="7" spans="1:6">
      <c r="A7">
        <v>2020</v>
      </c>
      <c r="B7" s="6">
        <v>314643</v>
      </c>
      <c r="C7" t="s">
        <v>24</v>
      </c>
      <c r="D7" s="3">
        <v>1.03991375</v>
      </c>
      <c r="E7" s="5">
        <f>'Rate History'!C10 / D7</f>
        <v>0</v>
      </c>
      <c r="F7" s="7">
        <f>B7 * E7</f>
        <v>0</v>
      </c>
    </row>
    <row r="8" spans="1:6">
      <c r="A8">
        <v>2021</v>
      </c>
      <c r="B8" s="6">
        <v>484462</v>
      </c>
      <c r="C8" t="s">
        <v>25</v>
      </c>
      <c r="D8" s="3">
        <v>1.0815103</v>
      </c>
      <c r="E8" s="5">
        <f>'Rate History'!C10 / D8</f>
        <v>0</v>
      </c>
      <c r="F8" s="7">
        <f>B8 * E8</f>
        <v>0</v>
      </c>
    </row>
    <row r="9" spans="1:6">
      <c r="A9">
        <v>2022</v>
      </c>
      <c r="B9" s="6">
        <v>365106</v>
      </c>
      <c r="C9" t="s">
        <v>26</v>
      </c>
      <c r="D9" s="3">
        <v>1.135585815</v>
      </c>
      <c r="E9" s="5">
        <f>'Rate History'!C10 / D9</f>
        <v>0</v>
      </c>
      <c r="F9" s="7">
        <f>B9 * E9</f>
        <v>0</v>
      </c>
    </row>
    <row r="10" spans="1:6">
      <c r="A10">
        <v>2023</v>
      </c>
      <c r="B10" s="6">
        <v>208127</v>
      </c>
      <c r="C10" t="s">
        <v>27</v>
      </c>
      <c r="D10" s="3">
        <v>1.175331318525</v>
      </c>
      <c r="E10" s="5">
        <f>'Rate History'!C10 / D10</f>
        <v>0</v>
      </c>
      <c r="F10" s="7">
        <f>B10 * E10</f>
        <v>0</v>
      </c>
    </row>
    <row r="11" spans="1:6">
      <c r="A11">
        <v>2024</v>
      </c>
      <c r="B11" s="6">
        <v>453117</v>
      </c>
      <c r="C11" t="s">
        <v>28</v>
      </c>
      <c r="D11" s="3">
        <v>1.1988379448955</v>
      </c>
      <c r="E11" s="5">
        <f>'Rate History'!C10 / D11</f>
        <v>0</v>
      </c>
      <c r="F11" s="7">
        <f>B11 * E11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13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18</v>
      </c>
    </row>
    <row r="2" spans="1:17">
      <c r="A2">
        <v>2015</v>
      </c>
      <c r="B2" s="6">
        <v>367378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f>AVERAGE(C2:N2)</f>
        <v>0</v>
      </c>
      <c r="P2" s="5">
        <f>'Rate History'!C10 / O2</f>
        <v>0</v>
      </c>
      <c r="Q2" s="7">
        <f>B2 * P2</f>
        <v>0</v>
      </c>
    </row>
    <row r="3" spans="1:17">
      <c r="A3">
        <v>2016</v>
      </c>
      <c r="B3" s="6">
        <v>104582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f>AVERAGE(C3:N3)</f>
        <v>0</v>
      </c>
      <c r="P3" s="5">
        <f>'Rate History'!C10 / O3</f>
        <v>0</v>
      </c>
      <c r="Q3" s="7">
        <f>B3 * P3</f>
        <v>0</v>
      </c>
    </row>
    <row r="4" spans="1:17">
      <c r="A4">
        <v>2017</v>
      </c>
      <c r="B4" s="6">
        <v>497650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f>AVERAGE(C4:N4)</f>
        <v>0</v>
      </c>
      <c r="P4" s="5">
        <f>'Rate History'!C10 / O4</f>
        <v>0</v>
      </c>
      <c r="Q4" s="7">
        <f>B4 * P4</f>
        <v>0</v>
      </c>
    </row>
    <row r="5" spans="1:17">
      <c r="A5">
        <v>2018</v>
      </c>
      <c r="B5" s="6">
        <v>321482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1.025</v>
      </c>
      <c r="J5" s="3">
        <v>1.025</v>
      </c>
      <c r="K5" s="3">
        <v>1.025</v>
      </c>
      <c r="L5" s="3">
        <v>1.025</v>
      </c>
      <c r="M5" s="3">
        <v>1.025</v>
      </c>
      <c r="N5" s="3">
        <v>1.025</v>
      </c>
      <c r="O5" s="3">
        <f>AVERAGE(C5:N5)</f>
        <v>0</v>
      </c>
      <c r="P5" s="5">
        <f>'Rate History'!C10 / O5</f>
        <v>0</v>
      </c>
      <c r="Q5" s="7">
        <f>B5 * P5</f>
        <v>0</v>
      </c>
    </row>
    <row r="6" spans="1:17">
      <c r="A6">
        <v>2019</v>
      </c>
      <c r="B6" s="6">
        <v>364931</v>
      </c>
      <c r="C6" s="3">
        <v>1.025</v>
      </c>
      <c r="D6" s="3">
        <v>1.025</v>
      </c>
      <c r="E6" s="3">
        <v>1.025</v>
      </c>
      <c r="F6" s="3">
        <v>1.025</v>
      </c>
      <c r="G6" s="3">
        <v>1.025</v>
      </c>
      <c r="H6" s="3">
        <v>1.025</v>
      </c>
      <c r="I6" s="3">
        <v>1.05575</v>
      </c>
      <c r="J6" s="3">
        <v>1.05575</v>
      </c>
      <c r="K6" s="3">
        <v>1.05575</v>
      </c>
      <c r="L6" s="3">
        <v>1.05575</v>
      </c>
      <c r="M6" s="3">
        <v>1.05575</v>
      </c>
      <c r="N6" s="3">
        <v>1.05575</v>
      </c>
      <c r="O6" s="3">
        <f>AVERAGE(C6:N6)</f>
        <v>0</v>
      </c>
      <c r="P6" s="5">
        <f>'Rate History'!C10 / O6</f>
        <v>0</v>
      </c>
      <c r="Q6" s="7">
        <f>B6 * P6</f>
        <v>0</v>
      </c>
    </row>
    <row r="7" spans="1:17">
      <c r="A7">
        <v>2020</v>
      </c>
      <c r="B7" s="6">
        <v>314643</v>
      </c>
      <c r="C7" s="3">
        <v>1.05575</v>
      </c>
      <c r="D7" s="3">
        <v>1.05575</v>
      </c>
      <c r="E7" s="3">
        <v>1.05575</v>
      </c>
      <c r="F7" s="3">
        <v>1.05575</v>
      </c>
      <c r="G7" s="3">
        <v>1.05575</v>
      </c>
      <c r="H7" s="3">
        <v>1.05575</v>
      </c>
      <c r="I7" s="3">
        <v>1.03991375</v>
      </c>
      <c r="J7" s="3">
        <v>1.03991375</v>
      </c>
      <c r="K7" s="3">
        <v>1.03991375</v>
      </c>
      <c r="L7" s="3">
        <v>1.03991375</v>
      </c>
      <c r="M7" s="3">
        <v>1.03991375</v>
      </c>
      <c r="N7" s="3">
        <v>1.03991375</v>
      </c>
      <c r="O7" s="3">
        <f>AVERAGE(C7:N7)</f>
        <v>0</v>
      </c>
      <c r="P7" s="5">
        <f>'Rate History'!C10 / O7</f>
        <v>0</v>
      </c>
      <c r="Q7" s="7">
        <f>B7 * P7</f>
        <v>0</v>
      </c>
    </row>
    <row r="8" spans="1:17">
      <c r="A8">
        <v>2021</v>
      </c>
      <c r="B8" s="6">
        <v>484462</v>
      </c>
      <c r="C8" s="3">
        <v>1.03991375</v>
      </c>
      <c r="D8" s="3">
        <v>1.03991375</v>
      </c>
      <c r="E8" s="3">
        <v>1.03991375</v>
      </c>
      <c r="F8" s="3">
        <v>1.03991375</v>
      </c>
      <c r="G8" s="3">
        <v>1.03991375</v>
      </c>
      <c r="H8" s="3">
        <v>1.03991375</v>
      </c>
      <c r="I8" s="3">
        <v>1.0815103</v>
      </c>
      <c r="J8" s="3">
        <v>1.0815103</v>
      </c>
      <c r="K8" s="3">
        <v>1.0815103</v>
      </c>
      <c r="L8" s="3">
        <v>1.0815103</v>
      </c>
      <c r="M8" s="3">
        <v>1.0815103</v>
      </c>
      <c r="N8" s="3">
        <v>1.0815103</v>
      </c>
      <c r="O8" s="3">
        <f>AVERAGE(C8:N8)</f>
        <v>0</v>
      </c>
      <c r="P8" s="5">
        <f>'Rate History'!C10 / O8</f>
        <v>0</v>
      </c>
      <c r="Q8" s="7">
        <f>B8 * P8</f>
        <v>0</v>
      </c>
    </row>
    <row r="9" spans="1:17">
      <c r="A9">
        <v>2022</v>
      </c>
      <c r="B9" s="6">
        <v>365106</v>
      </c>
      <c r="C9" s="3">
        <v>1.0815103</v>
      </c>
      <c r="D9" s="3">
        <v>1.0815103</v>
      </c>
      <c r="E9" s="3">
        <v>1.0815103</v>
      </c>
      <c r="F9" s="3">
        <v>1.0815103</v>
      </c>
      <c r="G9" s="3">
        <v>1.0815103</v>
      </c>
      <c r="H9" s="3">
        <v>1.0815103</v>
      </c>
      <c r="I9" s="3">
        <v>1.135585815</v>
      </c>
      <c r="J9" s="3">
        <v>1.135585815</v>
      </c>
      <c r="K9" s="3">
        <v>1.135585815</v>
      </c>
      <c r="L9" s="3">
        <v>1.135585815</v>
      </c>
      <c r="M9" s="3">
        <v>1.135585815</v>
      </c>
      <c r="N9" s="3">
        <v>1.135585815</v>
      </c>
      <c r="O9" s="3">
        <f>AVERAGE(C9:N9)</f>
        <v>0</v>
      </c>
      <c r="P9" s="5">
        <f>'Rate History'!C10 / O9</f>
        <v>0</v>
      </c>
      <c r="Q9" s="7">
        <f>B9 * P9</f>
        <v>0</v>
      </c>
    </row>
    <row r="10" spans="1:17">
      <c r="A10">
        <v>2023</v>
      </c>
      <c r="B10" s="6">
        <v>208127</v>
      </c>
      <c r="C10" s="3">
        <v>1.135585815</v>
      </c>
      <c r="D10" s="3">
        <v>1.135585815</v>
      </c>
      <c r="E10" s="3">
        <v>1.135585815</v>
      </c>
      <c r="F10" s="3">
        <v>1.135585815</v>
      </c>
      <c r="G10" s="3">
        <v>1.135585815</v>
      </c>
      <c r="H10" s="3">
        <v>1.135585815</v>
      </c>
      <c r="I10" s="3">
        <v>1.175331318525</v>
      </c>
      <c r="J10" s="3">
        <v>1.175331318525</v>
      </c>
      <c r="K10" s="3">
        <v>1.175331318525</v>
      </c>
      <c r="L10" s="3">
        <v>1.175331318525</v>
      </c>
      <c r="M10" s="3">
        <v>1.175331318525</v>
      </c>
      <c r="N10" s="3">
        <v>1.175331318525</v>
      </c>
      <c r="O10" s="3">
        <f>AVERAGE(C10:N10)</f>
        <v>0</v>
      </c>
      <c r="P10" s="5">
        <f>'Rate History'!C10 / O10</f>
        <v>0</v>
      </c>
      <c r="Q10" s="7">
        <f>B10 * P10</f>
        <v>0</v>
      </c>
    </row>
    <row r="11" spans="1:17">
      <c r="A11">
        <v>2024</v>
      </c>
      <c r="B11" s="6">
        <v>453117</v>
      </c>
      <c r="C11" s="3">
        <v>1.175331318525</v>
      </c>
      <c r="D11" s="3">
        <v>1.175331318525</v>
      </c>
      <c r="E11" s="3">
        <v>1.175331318525</v>
      </c>
      <c r="F11" s="3">
        <v>1.175331318525</v>
      </c>
      <c r="G11" s="3">
        <v>1.175331318525</v>
      </c>
      <c r="H11" s="3">
        <v>1.175331318525</v>
      </c>
      <c r="I11" s="3">
        <v>1.1988379448955</v>
      </c>
      <c r="J11" s="3">
        <v>1.1988379448955</v>
      </c>
      <c r="K11" s="3">
        <v>1.1988379448955</v>
      </c>
      <c r="L11" s="3">
        <v>1.1988379448955</v>
      </c>
      <c r="M11" s="3">
        <v>1.1988379448955</v>
      </c>
      <c r="N11" s="3">
        <v>1.1988379448955</v>
      </c>
      <c r="O11" s="3">
        <f>AVERAGE(C11:N11)</f>
        <v>0</v>
      </c>
      <c r="P11" s="5">
        <f>'Rate History'!C10 / O11</f>
        <v>0</v>
      </c>
      <c r="Q11" s="7">
        <f>B11 * P11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2"/>
  <sheetViews>
    <sheetView workbookViewId="0"/>
  </sheetViews>
  <sheetFormatPr defaultRowHeight="15"/>
  <sheetData>
    <row r="1" spans="1:29">
      <c r="A1" s="1" t="s">
        <v>13</v>
      </c>
      <c r="B1" s="1" t="s">
        <v>29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18</v>
      </c>
    </row>
    <row r="2" spans="1:29">
      <c r="A2" s="4" t="s">
        <v>70</v>
      </c>
      <c r="C2" s="3">
        <v>0.006944444444444444</v>
      </c>
      <c r="D2" s="3">
        <v>0.01388888888888889</v>
      </c>
      <c r="E2" s="3">
        <v>0.02083333333333333</v>
      </c>
      <c r="F2" s="3">
        <v>0.02777777777777778</v>
      </c>
      <c r="G2" s="3">
        <v>0.03472222222222222</v>
      </c>
      <c r="H2" s="3">
        <v>0.04166666666666666</v>
      </c>
      <c r="I2" s="3">
        <v>0.04861111111111111</v>
      </c>
      <c r="J2" s="3">
        <v>0.05555555555555555</v>
      </c>
      <c r="K2" s="3">
        <v>0.0625</v>
      </c>
      <c r="L2" s="3">
        <v>0.06944444444444445</v>
      </c>
      <c r="M2" s="3">
        <v>0.0763888888888889</v>
      </c>
      <c r="N2" s="3">
        <v>0.08333333333333333</v>
      </c>
      <c r="O2" s="3">
        <v>0.08333333333333333</v>
      </c>
      <c r="P2" s="3">
        <v>0.0763888888888889</v>
      </c>
      <c r="Q2" s="3">
        <v>0.06944444444444445</v>
      </c>
      <c r="R2" s="3">
        <v>0.0625</v>
      </c>
      <c r="S2" s="3">
        <v>0.05555555555555555</v>
      </c>
      <c r="T2" s="3">
        <v>0.04861111111111111</v>
      </c>
      <c r="U2" s="3">
        <v>0.04166666666666666</v>
      </c>
      <c r="V2" s="3">
        <v>0.03472222222222222</v>
      </c>
      <c r="W2" s="3">
        <v>0.02777777777777778</v>
      </c>
      <c r="X2" s="3">
        <v>0.02083333333333333</v>
      </c>
      <c r="Y2" s="3">
        <v>0.01388888888888889</v>
      </c>
      <c r="Z2" s="3">
        <v>0.006944444444444444</v>
      </c>
    </row>
    <row r="3" spans="1:29">
      <c r="A3">
        <v>2015</v>
      </c>
      <c r="B3" s="6">
        <v>367378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f>SUMPRODUCT(C2:Z2, C3:Z3)</f>
        <v>0</v>
      </c>
      <c r="AB3" s="5">
        <f>'Rate History'!C10 / AA3</f>
        <v>0</v>
      </c>
      <c r="AC3" s="7">
        <f>B3 * AB3</f>
        <v>0</v>
      </c>
    </row>
    <row r="4" spans="1:29">
      <c r="A4">
        <v>2016</v>
      </c>
      <c r="B4" s="6">
        <v>104582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f>SUMPRODUCT(C2:Z2, C4:Z4)</f>
        <v>0</v>
      </c>
      <c r="AB4" s="5">
        <f>'Rate History'!C10 / AA4</f>
        <v>0</v>
      </c>
      <c r="AC4" s="7">
        <f>B4 * AB4</f>
        <v>0</v>
      </c>
    </row>
    <row r="5" spans="1:29">
      <c r="A5">
        <v>2017</v>
      </c>
      <c r="B5" s="6">
        <v>497650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1.025</v>
      </c>
      <c r="V5" s="3">
        <v>1.025</v>
      </c>
      <c r="W5" s="3">
        <v>1.025</v>
      </c>
      <c r="X5" s="3">
        <v>1.025</v>
      </c>
      <c r="Y5" s="3">
        <v>1.025</v>
      </c>
      <c r="Z5" s="3">
        <v>1.025</v>
      </c>
      <c r="AA5" s="3">
        <f>SUMPRODUCT(C2:Z2, C5:Z5)</f>
        <v>0</v>
      </c>
      <c r="AB5" s="5">
        <f>'Rate History'!C10 / AA5</f>
        <v>0</v>
      </c>
      <c r="AC5" s="7">
        <f>B5 * AB5</f>
        <v>0</v>
      </c>
    </row>
    <row r="6" spans="1:29">
      <c r="A6">
        <v>2018</v>
      </c>
      <c r="B6" s="6">
        <v>321482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1.025</v>
      </c>
      <c r="J6" s="3">
        <v>1.025</v>
      </c>
      <c r="K6" s="3">
        <v>1.025</v>
      </c>
      <c r="L6" s="3">
        <v>1.025</v>
      </c>
      <c r="M6" s="3">
        <v>1.025</v>
      </c>
      <c r="N6" s="3">
        <v>1.025</v>
      </c>
      <c r="O6" s="3">
        <v>1.025</v>
      </c>
      <c r="P6" s="3">
        <v>1.025</v>
      </c>
      <c r="Q6" s="3">
        <v>1.025</v>
      </c>
      <c r="R6" s="3">
        <v>1.025</v>
      </c>
      <c r="S6" s="3">
        <v>1.025</v>
      </c>
      <c r="T6" s="3">
        <v>1.025</v>
      </c>
      <c r="U6" s="3">
        <v>1.05575</v>
      </c>
      <c r="V6" s="3">
        <v>1.05575</v>
      </c>
      <c r="W6" s="3">
        <v>1.05575</v>
      </c>
      <c r="X6" s="3">
        <v>1.05575</v>
      </c>
      <c r="Y6" s="3">
        <v>1.05575</v>
      </c>
      <c r="Z6" s="3">
        <v>1.05575</v>
      </c>
      <c r="AA6" s="3">
        <f>SUMPRODUCT(C2:Z2, C6:Z6)</f>
        <v>0</v>
      </c>
      <c r="AB6" s="5">
        <f>'Rate History'!C10 / AA6</f>
        <v>0</v>
      </c>
      <c r="AC6" s="7">
        <f>B6 * AB6</f>
        <v>0</v>
      </c>
    </row>
    <row r="7" spans="1:29">
      <c r="A7">
        <v>2019</v>
      </c>
      <c r="B7" s="6">
        <v>364931</v>
      </c>
      <c r="C7" s="3">
        <v>1.025</v>
      </c>
      <c r="D7" s="3">
        <v>1.025</v>
      </c>
      <c r="E7" s="3">
        <v>1.025</v>
      </c>
      <c r="F7" s="3">
        <v>1.025</v>
      </c>
      <c r="G7" s="3">
        <v>1.025</v>
      </c>
      <c r="H7" s="3">
        <v>1.025</v>
      </c>
      <c r="I7" s="3">
        <v>1.05575</v>
      </c>
      <c r="J7" s="3">
        <v>1.05575</v>
      </c>
      <c r="K7" s="3">
        <v>1.05575</v>
      </c>
      <c r="L7" s="3">
        <v>1.05575</v>
      </c>
      <c r="M7" s="3">
        <v>1.05575</v>
      </c>
      <c r="N7" s="3">
        <v>1.05575</v>
      </c>
      <c r="O7" s="3">
        <v>1.05575</v>
      </c>
      <c r="P7" s="3">
        <v>1.05575</v>
      </c>
      <c r="Q7" s="3">
        <v>1.05575</v>
      </c>
      <c r="R7" s="3">
        <v>1.05575</v>
      </c>
      <c r="S7" s="3">
        <v>1.05575</v>
      </c>
      <c r="T7" s="3">
        <v>1.05575</v>
      </c>
      <c r="U7" s="3">
        <v>1.03991375</v>
      </c>
      <c r="V7" s="3">
        <v>1.03991375</v>
      </c>
      <c r="W7" s="3">
        <v>1.03991375</v>
      </c>
      <c r="X7" s="3">
        <v>1.03991375</v>
      </c>
      <c r="Y7" s="3">
        <v>1.03991375</v>
      </c>
      <c r="Z7" s="3">
        <v>1.03991375</v>
      </c>
      <c r="AA7" s="3">
        <f>SUMPRODUCT(C2:Z2, C7:Z7)</f>
        <v>0</v>
      </c>
      <c r="AB7" s="5">
        <f>'Rate History'!C10 / AA7</f>
        <v>0</v>
      </c>
      <c r="AC7" s="7">
        <f>B7 * AB7</f>
        <v>0</v>
      </c>
    </row>
    <row r="8" spans="1:29">
      <c r="A8">
        <v>2020</v>
      </c>
      <c r="B8" s="6">
        <v>314643</v>
      </c>
      <c r="C8" s="3">
        <v>1.05575</v>
      </c>
      <c r="D8" s="3">
        <v>1.05575</v>
      </c>
      <c r="E8" s="3">
        <v>1.05575</v>
      </c>
      <c r="F8" s="3">
        <v>1.05575</v>
      </c>
      <c r="G8" s="3">
        <v>1.05575</v>
      </c>
      <c r="H8" s="3">
        <v>1.05575</v>
      </c>
      <c r="I8" s="3">
        <v>1.03991375</v>
      </c>
      <c r="J8" s="3">
        <v>1.03991375</v>
      </c>
      <c r="K8" s="3">
        <v>1.03991375</v>
      </c>
      <c r="L8" s="3">
        <v>1.03991375</v>
      </c>
      <c r="M8" s="3">
        <v>1.03991375</v>
      </c>
      <c r="N8" s="3">
        <v>1.03991375</v>
      </c>
      <c r="O8" s="3">
        <v>1.03991375</v>
      </c>
      <c r="P8" s="3">
        <v>1.03991375</v>
      </c>
      <c r="Q8" s="3">
        <v>1.03991375</v>
      </c>
      <c r="R8" s="3">
        <v>1.03991375</v>
      </c>
      <c r="S8" s="3">
        <v>1.03991375</v>
      </c>
      <c r="T8" s="3">
        <v>1.03991375</v>
      </c>
      <c r="U8" s="3">
        <v>1.0815103</v>
      </c>
      <c r="V8" s="3">
        <v>1.0815103</v>
      </c>
      <c r="W8" s="3">
        <v>1.0815103</v>
      </c>
      <c r="X8" s="3">
        <v>1.0815103</v>
      </c>
      <c r="Y8" s="3">
        <v>1.0815103</v>
      </c>
      <c r="Z8" s="3">
        <v>1.0815103</v>
      </c>
      <c r="AA8" s="3">
        <f>SUMPRODUCT(C2:Z2, C8:Z8)</f>
        <v>0</v>
      </c>
      <c r="AB8" s="5">
        <f>'Rate History'!C10 / AA8</f>
        <v>0</v>
      </c>
      <c r="AC8" s="7">
        <f>B8 * AB8</f>
        <v>0</v>
      </c>
    </row>
    <row r="9" spans="1:29">
      <c r="A9">
        <v>2021</v>
      </c>
      <c r="B9" s="6">
        <v>484462</v>
      </c>
      <c r="C9" s="3">
        <v>1.03991375</v>
      </c>
      <c r="D9" s="3">
        <v>1.03991375</v>
      </c>
      <c r="E9" s="3">
        <v>1.03991375</v>
      </c>
      <c r="F9" s="3">
        <v>1.03991375</v>
      </c>
      <c r="G9" s="3">
        <v>1.03991375</v>
      </c>
      <c r="H9" s="3">
        <v>1.03991375</v>
      </c>
      <c r="I9" s="3">
        <v>1.0815103</v>
      </c>
      <c r="J9" s="3">
        <v>1.0815103</v>
      </c>
      <c r="K9" s="3">
        <v>1.0815103</v>
      </c>
      <c r="L9" s="3">
        <v>1.0815103</v>
      </c>
      <c r="M9" s="3">
        <v>1.0815103</v>
      </c>
      <c r="N9" s="3">
        <v>1.0815103</v>
      </c>
      <c r="O9" s="3">
        <v>1.0815103</v>
      </c>
      <c r="P9" s="3">
        <v>1.0815103</v>
      </c>
      <c r="Q9" s="3">
        <v>1.0815103</v>
      </c>
      <c r="R9" s="3">
        <v>1.0815103</v>
      </c>
      <c r="S9" s="3">
        <v>1.0815103</v>
      </c>
      <c r="T9" s="3">
        <v>1.0815103</v>
      </c>
      <c r="U9" s="3">
        <v>1.135585815</v>
      </c>
      <c r="V9" s="3">
        <v>1.135585815</v>
      </c>
      <c r="W9" s="3">
        <v>1.135585815</v>
      </c>
      <c r="X9" s="3">
        <v>1.135585815</v>
      </c>
      <c r="Y9" s="3">
        <v>1.135585815</v>
      </c>
      <c r="Z9" s="3">
        <v>1.135585815</v>
      </c>
      <c r="AA9" s="3">
        <f>SUMPRODUCT(C2:Z2, C9:Z9)</f>
        <v>0</v>
      </c>
      <c r="AB9" s="5">
        <f>'Rate History'!C10 / AA9</f>
        <v>0</v>
      </c>
      <c r="AC9" s="7">
        <f>B9 * AB9</f>
        <v>0</v>
      </c>
    </row>
    <row r="10" spans="1:29">
      <c r="A10">
        <v>2022</v>
      </c>
      <c r="B10" s="6">
        <v>365106</v>
      </c>
      <c r="C10" s="3">
        <v>1.0815103</v>
      </c>
      <c r="D10" s="3">
        <v>1.0815103</v>
      </c>
      <c r="E10" s="3">
        <v>1.0815103</v>
      </c>
      <c r="F10" s="3">
        <v>1.0815103</v>
      </c>
      <c r="G10" s="3">
        <v>1.0815103</v>
      </c>
      <c r="H10" s="3">
        <v>1.0815103</v>
      </c>
      <c r="I10" s="3">
        <v>1.135585815</v>
      </c>
      <c r="J10" s="3">
        <v>1.135585815</v>
      </c>
      <c r="K10" s="3">
        <v>1.135585815</v>
      </c>
      <c r="L10" s="3">
        <v>1.135585815</v>
      </c>
      <c r="M10" s="3">
        <v>1.135585815</v>
      </c>
      <c r="N10" s="3">
        <v>1.135585815</v>
      </c>
      <c r="O10" s="3">
        <v>1.135585815</v>
      </c>
      <c r="P10" s="3">
        <v>1.135585815</v>
      </c>
      <c r="Q10" s="3">
        <v>1.135585815</v>
      </c>
      <c r="R10" s="3">
        <v>1.135585815</v>
      </c>
      <c r="S10" s="3">
        <v>1.135585815</v>
      </c>
      <c r="T10" s="3">
        <v>1.135585815</v>
      </c>
      <c r="U10" s="3">
        <v>1.175331318525</v>
      </c>
      <c r="V10" s="3">
        <v>1.175331318525</v>
      </c>
      <c r="W10" s="3">
        <v>1.175331318525</v>
      </c>
      <c r="X10" s="3">
        <v>1.175331318525</v>
      </c>
      <c r="Y10" s="3">
        <v>1.175331318525</v>
      </c>
      <c r="Z10" s="3">
        <v>1.175331318525</v>
      </c>
      <c r="AA10" s="3">
        <f>SUMPRODUCT(C2:Z2, C10:Z10)</f>
        <v>0</v>
      </c>
      <c r="AB10" s="5">
        <f>'Rate History'!C10 / AA10</f>
        <v>0</v>
      </c>
      <c r="AC10" s="7">
        <f>B10 * AB10</f>
        <v>0</v>
      </c>
    </row>
    <row r="11" spans="1:29">
      <c r="A11">
        <v>2023</v>
      </c>
      <c r="B11" s="6">
        <v>208127</v>
      </c>
      <c r="C11" s="3">
        <v>1.135585815</v>
      </c>
      <c r="D11" s="3">
        <v>1.135585815</v>
      </c>
      <c r="E11" s="3">
        <v>1.135585815</v>
      </c>
      <c r="F11" s="3">
        <v>1.135585815</v>
      </c>
      <c r="G11" s="3">
        <v>1.135585815</v>
      </c>
      <c r="H11" s="3">
        <v>1.135585815</v>
      </c>
      <c r="I11" s="3">
        <v>1.175331318525</v>
      </c>
      <c r="J11" s="3">
        <v>1.175331318525</v>
      </c>
      <c r="K11" s="3">
        <v>1.175331318525</v>
      </c>
      <c r="L11" s="3">
        <v>1.175331318525</v>
      </c>
      <c r="M11" s="3">
        <v>1.175331318525</v>
      </c>
      <c r="N11" s="3">
        <v>1.175331318525</v>
      </c>
      <c r="O11" s="3">
        <v>1.175331318525</v>
      </c>
      <c r="P11" s="3">
        <v>1.175331318525</v>
      </c>
      <c r="Q11" s="3">
        <v>1.175331318525</v>
      </c>
      <c r="R11" s="3">
        <v>1.175331318525</v>
      </c>
      <c r="S11" s="3">
        <v>1.175331318525</v>
      </c>
      <c r="T11" s="3">
        <v>1.175331318525</v>
      </c>
      <c r="U11" s="3">
        <v>1.1988379448955</v>
      </c>
      <c r="V11" s="3">
        <v>1.1988379448955</v>
      </c>
      <c r="W11" s="3">
        <v>1.1988379448955</v>
      </c>
      <c r="X11" s="3">
        <v>1.1988379448955</v>
      </c>
      <c r="Y11" s="3">
        <v>1.1988379448955</v>
      </c>
      <c r="Z11" s="3">
        <v>1.1988379448955</v>
      </c>
      <c r="AA11" s="3">
        <f>SUMPRODUCT(C2:Z2, C11:Z11)</f>
        <v>0</v>
      </c>
      <c r="AB11" s="5">
        <f>'Rate History'!C10 / AA11</f>
        <v>0</v>
      </c>
      <c r="AC11" s="7">
        <f>B11 * AB11</f>
        <v>0</v>
      </c>
    </row>
    <row r="12" spans="1:29">
      <c r="A12">
        <v>2024</v>
      </c>
      <c r="B12" s="6">
        <v>453117</v>
      </c>
      <c r="C12" s="3">
        <v>1.175331318525</v>
      </c>
      <c r="D12" s="3">
        <v>1.175331318525</v>
      </c>
      <c r="E12" s="3">
        <v>1.175331318525</v>
      </c>
      <c r="F12" s="3">
        <v>1.175331318525</v>
      </c>
      <c r="G12" s="3">
        <v>1.175331318525</v>
      </c>
      <c r="H12" s="3">
        <v>1.175331318525</v>
      </c>
      <c r="I12" s="3">
        <v>1.1988379448955</v>
      </c>
      <c r="J12" s="3">
        <v>1.1988379448955</v>
      </c>
      <c r="K12" s="3">
        <v>1.1988379448955</v>
      </c>
      <c r="L12" s="3">
        <v>1.1988379448955</v>
      </c>
      <c r="M12" s="3">
        <v>1.1988379448955</v>
      </c>
      <c r="N12" s="3">
        <v>1.1988379448955</v>
      </c>
      <c r="O12" s="3">
        <v>1.1988379448955</v>
      </c>
      <c r="P12" s="3">
        <v>1.1988379448955</v>
      </c>
      <c r="Q12" s="3">
        <v>1.1988379448955</v>
      </c>
      <c r="R12" s="3">
        <v>1.1988379448955</v>
      </c>
      <c r="S12" s="3">
        <v>1.1988379448955</v>
      </c>
      <c r="T12" s="3">
        <v>1.1988379448955</v>
      </c>
      <c r="U12" s="3">
        <v>1.216820514068932</v>
      </c>
      <c r="V12" s="3">
        <v>1.216820514068932</v>
      </c>
      <c r="W12" s="3">
        <v>1.216820514068932</v>
      </c>
      <c r="X12" s="3">
        <v>1.216820514068932</v>
      </c>
      <c r="Y12" s="3">
        <v>1.216820514068932</v>
      </c>
      <c r="Z12" s="3">
        <v>1.216820514068932</v>
      </c>
      <c r="AA12" s="3">
        <f>SUMPRODUCT(C2:Z2, C12:Z12)</f>
        <v>0</v>
      </c>
      <c r="AB12" s="5">
        <f>'Rate History'!C10 / AA12</f>
        <v>0</v>
      </c>
      <c r="AC12" s="7">
        <f>B12 * AB12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History</vt:lpstr>
      <vt:lpstr>WP Onleveling</vt:lpstr>
      <vt:lpstr>CY EP Onleveling</vt:lpstr>
      <vt:lpstr>PY EP Onleveling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2026-03-23T18:39:49Z</dcterms:created>
  <dcterms:modified xsi:type="dcterms:W3CDTF">2026-03-23T18:39:49Z</dcterms:modified>
</cp:coreProperties>
</file>