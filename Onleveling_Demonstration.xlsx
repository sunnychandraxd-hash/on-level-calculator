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. Rate History" sheetId="1" r:id="rId1"/>
    <sheet name="2. WP Example" sheetId="2" r:id="rId2"/>
    <sheet name="3. CY EP Example (2020)" sheetId="3" r:id="rId3"/>
    <sheet name="4. PY EP Example (2020)" sheetId="4" r:id="rId4"/>
  </sheets>
  <calcPr calcId="124519" fullCalcOnLoad="1"/>
</workbook>
</file>

<file path=xl/sharedStrings.xml><?xml version="1.0" encoding="utf-8"?>
<sst xmlns="http://schemas.openxmlformats.org/spreadsheetml/2006/main" count="113" uniqueCount="89">
  <si>
    <t>Date</t>
  </si>
  <si>
    <t>Rate Change (%)</t>
  </si>
  <si>
    <t>Cumulative Level</t>
  </si>
  <si>
    <t>Evaluation Date</t>
  </si>
  <si>
    <t>Base</t>
  </si>
  <si>
    <t>2022-12-31</t>
  </si>
  <si>
    <t>2020-07-01</t>
  </si>
  <si>
    <t>2021-01-01</t>
  </si>
  <si>
    <t>2022-04-01</t>
  </si>
  <si>
    <t>Current Level (Eval Date):</t>
  </si>
  <si>
    <t>Policy Year</t>
  </si>
  <si>
    <t>Effective Date Assumed</t>
  </si>
  <si>
    <t>Rate Level at Eff Date</t>
  </si>
  <si>
    <t>Current Level</t>
  </si>
  <si>
    <t>WP Factor (Current/Old)</t>
  </si>
  <si>
    <t>2020-07-01 (Mid-Year)</t>
  </si>
  <si>
    <t>Month</t>
  </si>
  <si>
    <t>Earned Fraction (Weight)</t>
  </si>
  <si>
    <t>Month Target Date</t>
  </si>
  <si>
    <t>Policies Written On:</t>
  </si>
  <si>
    <t>Rate Level for Policies</t>
  </si>
  <si>
    <t>2020-01</t>
  </si>
  <si>
    <t>2020-01-15</t>
  </si>
  <si>
    <t>Trailers back 12M</t>
  </si>
  <si>
    <t>2020-02</t>
  </si>
  <si>
    <t>2020-02-15</t>
  </si>
  <si>
    <t>2020-03</t>
  </si>
  <si>
    <t>2020-03-15</t>
  </si>
  <si>
    <t>2020-04</t>
  </si>
  <si>
    <t>2020-04-15</t>
  </si>
  <si>
    <t>2020-05</t>
  </si>
  <si>
    <t>2020-05-15</t>
  </si>
  <si>
    <t>2020-06</t>
  </si>
  <si>
    <t>2020-06-15</t>
  </si>
  <si>
    <t>2020-07</t>
  </si>
  <si>
    <t>2020-07-15</t>
  </si>
  <si>
    <t>2020-08</t>
  </si>
  <si>
    <t>2020-08-15</t>
  </si>
  <si>
    <t>2020-09</t>
  </si>
  <si>
    <t>2020-09-15</t>
  </si>
  <si>
    <t>2020-10</t>
  </si>
  <si>
    <t>2020-10-15</t>
  </si>
  <si>
    <t>2020-11</t>
  </si>
  <si>
    <t>2020-11-15</t>
  </si>
  <si>
    <t>2020-12</t>
  </si>
  <si>
    <t>2020-12-15</t>
  </si>
  <si>
    <t>Average Earned Level:</t>
  </si>
  <si>
    <t>CY Factor (Current / Avg):</t>
  </si>
  <si>
    <t>Month (1-24)</t>
  </si>
  <si>
    <t>Target Date</t>
  </si>
  <si>
    <t>Level on Date</t>
  </si>
  <si>
    <t>Triangular Weight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</si>
  <si>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</si>
  <si>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</si>
  <si>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</si>
  <si>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</si>
  <si>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</si>
  <si>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</si>
  <si>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</si>
  <si>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</si>
  <si>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</si>
  <si>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</si>
  <si>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</si>
  <si>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</si>
  <si>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Month 13</t>
  </si>
  <si>
    <t>2021-01-15</t>
  </si>
  <si>
    <t>Month 14</t>
  </si>
  <si>
    <t>2021-02-15</t>
  </si>
  <si>
    <t>Month 15</t>
  </si>
  <si>
    <t>2021-03-15</t>
  </si>
  <si>
    <t>Month 16</t>
  </si>
  <si>
    <t>2021-04-15</t>
  </si>
  <si>
    <t>Month 17</t>
  </si>
  <si>
    <t>2021-05-15</t>
  </si>
  <si>
    <t>Month 18</t>
  </si>
  <si>
    <t>2021-06-15</t>
  </si>
  <si>
    <t>Month 19</t>
  </si>
  <si>
    <t>2021-07-15</t>
  </si>
  <si>
    <t>Month 20</t>
  </si>
  <si>
    <t>2021-08-15</t>
  </si>
  <si>
    <t>Month 21</t>
  </si>
  <si>
    <t>2021-09-15</t>
  </si>
  <si>
    <t>Month 22</t>
  </si>
  <si>
    <t>2021-10-15</t>
  </si>
  <si>
    <t>Month 23</t>
  </si>
  <si>
    <t>2021-11-15</t>
  </si>
  <si>
    <t>Month 24</t>
  </si>
  <si>
    <t>2021-12-15</t>
  </si>
  <si>
    <t>PY Factor (Current / Avg):</t>
  </si>
</sst>
</file>

<file path=xl/styles.xml><?xml version="1.0" encoding="utf-8"?>
<styleSheet xmlns="http://schemas.openxmlformats.org/spreadsheetml/2006/main">
  <numFmts count="2">
    <numFmt numFmtId="164" formatCode="0.00%"/>
    <numFmt numFmtId="165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2" width="15.7109375" customWidth="1"/>
    <col min="3" max="5" width="2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2">
        <v>0</v>
      </c>
      <c r="C2" s="3">
        <v>1</v>
      </c>
      <c r="D2" t="s">
        <v>5</v>
      </c>
    </row>
    <row r="3" spans="1:4">
      <c r="A3" t="s">
        <v>6</v>
      </c>
      <c r="B3" s="2">
        <v>0.05</v>
      </c>
      <c r="C3" s="3">
        <f>C2*(1+B3)</f>
        <v>0</v>
      </c>
    </row>
    <row r="4" spans="1:4">
      <c r="A4" t="s">
        <v>7</v>
      </c>
      <c r="B4" s="2">
        <v>0.1</v>
      </c>
      <c r="C4" s="3">
        <f>C3*(1+B4)</f>
        <v>0</v>
      </c>
    </row>
    <row r="5" spans="1:4">
      <c r="A5" t="s">
        <v>8</v>
      </c>
      <c r="B5" s="2">
        <v>-0.02</v>
      </c>
      <c r="C5" s="3">
        <f>C4*(1+B5)</f>
        <v>0</v>
      </c>
    </row>
    <row r="7" spans="1:4">
      <c r="A7" s="4" t="s">
        <v>9</v>
      </c>
      <c r="C7" s="3">
        <f>C5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cols>
    <col min="1" max="6" width="18.7109375" customWidth="1"/>
  </cols>
  <sheetData>
    <row r="1" spans="1: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>
        <v>2020</v>
      </c>
      <c r="B2" t="s">
        <v>15</v>
      </c>
      <c r="C2" s="3">
        <v>1.05</v>
      </c>
      <c r="D2">
        <f>'1. Rate History'!C5</f>
        <v>0</v>
      </c>
      <c r="E2" s="3">
        <f>D2/C2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cols>
    <col min="1" max="7" width="18.7109375" customWidth="1"/>
  </cols>
  <sheetData>
    <row r="1" spans="1: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</row>
    <row r="2" spans="1:5">
      <c r="A2" t="s">
        <v>21</v>
      </c>
      <c r="B2" s="3">
        <v>0.08333333333333333</v>
      </c>
      <c r="C2" t="s">
        <v>22</v>
      </c>
      <c r="D2" t="s">
        <v>23</v>
      </c>
      <c r="E2" s="3">
        <v>1</v>
      </c>
    </row>
    <row r="3" spans="1:5">
      <c r="A3" t="s">
        <v>24</v>
      </c>
      <c r="B3" s="3">
        <v>0.08333333333333333</v>
      </c>
      <c r="C3" t="s">
        <v>25</v>
      </c>
      <c r="D3" t="s">
        <v>23</v>
      </c>
      <c r="E3" s="3">
        <v>1</v>
      </c>
    </row>
    <row r="4" spans="1:5">
      <c r="A4" t="s">
        <v>26</v>
      </c>
      <c r="B4" s="3">
        <v>0.08333333333333333</v>
      </c>
      <c r="C4" t="s">
        <v>27</v>
      </c>
      <c r="D4" t="s">
        <v>23</v>
      </c>
      <c r="E4" s="3">
        <v>1</v>
      </c>
    </row>
    <row r="5" spans="1:5">
      <c r="A5" t="s">
        <v>28</v>
      </c>
      <c r="B5" s="3">
        <v>0.08333333333333333</v>
      </c>
      <c r="C5" t="s">
        <v>29</v>
      </c>
      <c r="D5" t="s">
        <v>23</v>
      </c>
      <c r="E5" s="3">
        <v>1</v>
      </c>
    </row>
    <row r="6" spans="1:5">
      <c r="A6" t="s">
        <v>30</v>
      </c>
      <c r="B6" s="3">
        <v>0.08333333333333333</v>
      </c>
      <c r="C6" t="s">
        <v>31</v>
      </c>
      <c r="D6" t="s">
        <v>23</v>
      </c>
      <c r="E6" s="3">
        <v>1</v>
      </c>
    </row>
    <row r="7" spans="1:5">
      <c r="A7" t="s">
        <v>32</v>
      </c>
      <c r="B7" s="3">
        <v>0.08333333333333333</v>
      </c>
      <c r="C7" t="s">
        <v>33</v>
      </c>
      <c r="D7" t="s">
        <v>23</v>
      </c>
      <c r="E7" s="3">
        <v>1</v>
      </c>
    </row>
    <row r="8" spans="1:5">
      <c r="A8" t="s">
        <v>34</v>
      </c>
      <c r="B8" s="3">
        <v>0.08333333333333333</v>
      </c>
      <c r="C8" t="s">
        <v>35</v>
      </c>
      <c r="D8" t="s">
        <v>23</v>
      </c>
      <c r="E8" s="3">
        <v>1.05</v>
      </c>
    </row>
    <row r="9" spans="1:5">
      <c r="A9" t="s">
        <v>36</v>
      </c>
      <c r="B9" s="3">
        <v>0.08333333333333333</v>
      </c>
      <c r="C9" t="s">
        <v>37</v>
      </c>
      <c r="D9" t="s">
        <v>23</v>
      </c>
      <c r="E9" s="3">
        <v>1.05</v>
      </c>
    </row>
    <row r="10" spans="1:5">
      <c r="A10" t="s">
        <v>38</v>
      </c>
      <c r="B10" s="3">
        <v>0.08333333333333333</v>
      </c>
      <c r="C10" t="s">
        <v>39</v>
      </c>
      <c r="D10" t="s">
        <v>23</v>
      </c>
      <c r="E10" s="3">
        <v>1.05</v>
      </c>
    </row>
    <row r="11" spans="1:5">
      <c r="A11" t="s">
        <v>40</v>
      </c>
      <c r="B11" s="3">
        <v>0.08333333333333333</v>
      </c>
      <c r="C11" t="s">
        <v>41</v>
      </c>
      <c r="D11" t="s">
        <v>23</v>
      </c>
      <c r="E11" s="3">
        <v>1.05</v>
      </c>
    </row>
    <row r="12" spans="1:5">
      <c r="A12" t="s">
        <v>42</v>
      </c>
      <c r="B12" s="3">
        <v>0.08333333333333333</v>
      </c>
      <c r="C12" t="s">
        <v>43</v>
      </c>
      <c r="D12" t="s">
        <v>23</v>
      </c>
      <c r="E12" s="3">
        <v>1.05</v>
      </c>
    </row>
    <row r="13" spans="1:5">
      <c r="A13" t="s">
        <v>44</v>
      </c>
      <c r="B13" s="3">
        <v>0.08333333333333333</v>
      </c>
      <c r="C13" t="s">
        <v>45</v>
      </c>
      <c r="D13" t="s">
        <v>23</v>
      </c>
      <c r="E13" s="3">
        <v>1.05</v>
      </c>
    </row>
    <row r="15" spans="1:5">
      <c r="A15" s="4" t="s">
        <v>46</v>
      </c>
      <c r="E15" s="3">
        <f>SUMPRODUCT(B2:B13, E2:E13)</f>
        <v>0</v>
      </c>
    </row>
    <row r="16" spans="1:5">
      <c r="A16" s="4" t="s">
        <v>47</v>
      </c>
      <c r="E16" s="3">
        <f>'1. Rate History'!C5 / E15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FormatPr defaultRowHeight="15"/>
  <cols>
    <col min="1" max="6" width="18.7109375" customWidth="1"/>
  </cols>
  <sheetData>
    <row r="1" spans="1:4">
      <c r="A1" s="1" t="s">
        <v>48</v>
      </c>
      <c r="B1" s="1" t="s">
        <v>49</v>
      </c>
      <c r="C1" s="1" t="s">
        <v>50</v>
      </c>
      <c r="D1" s="1" t="s">
        <v>51</v>
      </c>
    </row>
    <row r="2" spans="1:4">
      <c r="A2" t="s">
        <v>52</v>
      </c>
      <c r="B2" t="s">
        <v>22</v>
      </c>
      <c r="C2" s="3">
        <v>1</v>
      </c>
      <c r="D2" s="3">
        <v>0.006944444444444444</v>
      </c>
    </row>
    <row r="3" spans="1:4">
      <c r="A3" t="s">
        <v>53</v>
      </c>
      <c r="B3" t="s">
        <v>25</v>
      </c>
      <c r="C3" s="3">
        <v>1</v>
      </c>
      <c r="D3" s="3">
        <v>0.01388888888888889</v>
      </c>
    </row>
    <row r="4" spans="1:4">
      <c r="A4" t="s">
        <v>54</v>
      </c>
      <c r="B4" t="s">
        <v>27</v>
      </c>
      <c r="C4" s="3">
        <v>1</v>
      </c>
      <c r="D4" s="3">
        <v>0.02083333333333333</v>
      </c>
    </row>
    <row r="5" spans="1:4">
      <c r="A5" t="s">
        <v>55</v>
      </c>
      <c r="B5" t="s">
        <v>29</v>
      </c>
      <c r="C5" s="3">
        <v>1</v>
      </c>
      <c r="D5" s="3">
        <v>0.02777777777777778</v>
      </c>
    </row>
    <row r="6" spans="1:4">
      <c r="A6" t="s">
        <v>56</v>
      </c>
      <c r="B6" t="s">
        <v>31</v>
      </c>
      <c r="C6" s="3">
        <v>1</v>
      </c>
      <c r="D6" s="3">
        <v>0.03472222222222222</v>
      </c>
    </row>
    <row r="7" spans="1:4">
      <c r="A7" t="s">
        <v>57</v>
      </c>
      <c r="B7" t="s">
        <v>33</v>
      </c>
      <c r="C7" s="3">
        <v>1</v>
      </c>
      <c r="D7" s="3">
        <v>0.04166666666666666</v>
      </c>
    </row>
    <row r="8" spans="1:4">
      <c r="A8" t="s">
        <v>58</v>
      </c>
      <c r="B8" t="s">
        <v>35</v>
      </c>
      <c r="C8" s="3">
        <v>1.05</v>
      </c>
      <c r="D8" s="3">
        <v>0.04861111111111111</v>
      </c>
    </row>
    <row r="9" spans="1:4">
      <c r="A9" t="s">
        <v>59</v>
      </c>
      <c r="B9" t="s">
        <v>37</v>
      </c>
      <c r="C9" s="3">
        <v>1.05</v>
      </c>
      <c r="D9" s="3">
        <v>0.05555555555555555</v>
      </c>
    </row>
    <row r="10" spans="1:4">
      <c r="A10" t="s">
        <v>60</v>
      </c>
      <c r="B10" t="s">
        <v>39</v>
      </c>
      <c r="C10" s="3">
        <v>1.05</v>
      </c>
      <c r="D10" s="3">
        <v>0.0625</v>
      </c>
    </row>
    <row r="11" spans="1:4">
      <c r="A11" t="s">
        <v>61</v>
      </c>
      <c r="B11" t="s">
        <v>41</v>
      </c>
      <c r="C11" s="3">
        <v>1.05</v>
      </c>
      <c r="D11" s="3">
        <v>0.06944444444444445</v>
      </c>
    </row>
    <row r="12" spans="1:4">
      <c r="A12" t="s">
        <v>62</v>
      </c>
      <c r="B12" t="s">
        <v>43</v>
      </c>
      <c r="C12" s="3">
        <v>1.05</v>
      </c>
      <c r="D12" s="3">
        <v>0.0763888888888889</v>
      </c>
    </row>
    <row r="13" spans="1:4">
      <c r="A13" t="s">
        <v>63</v>
      </c>
      <c r="B13" t="s">
        <v>45</v>
      </c>
      <c r="C13" s="3">
        <v>1.05</v>
      </c>
      <c r="D13" s="3">
        <v>0.08333333333333333</v>
      </c>
    </row>
    <row r="14" spans="1:4">
      <c r="A14" t="s">
        <v>64</v>
      </c>
      <c r="B14" t="s">
        <v>65</v>
      </c>
      <c r="C14" s="3">
        <v>1.155</v>
      </c>
      <c r="D14" s="3">
        <v>0.08333333333333333</v>
      </c>
    </row>
    <row r="15" spans="1:4">
      <c r="A15" t="s">
        <v>66</v>
      </c>
      <c r="B15" t="s">
        <v>67</v>
      </c>
      <c r="C15" s="3">
        <v>1.155</v>
      </c>
      <c r="D15" s="3">
        <v>0.0763888888888889</v>
      </c>
    </row>
    <row r="16" spans="1:4">
      <c r="A16" t="s">
        <v>68</v>
      </c>
      <c r="B16" t="s">
        <v>69</v>
      </c>
      <c r="C16" s="3">
        <v>1.155</v>
      </c>
      <c r="D16" s="3">
        <v>0.06944444444444445</v>
      </c>
    </row>
    <row r="17" spans="1:4">
      <c r="A17" t="s">
        <v>70</v>
      </c>
      <c r="B17" t="s">
        <v>71</v>
      </c>
      <c r="C17" s="3">
        <v>1.155</v>
      </c>
      <c r="D17" s="3">
        <v>0.0625</v>
      </c>
    </row>
    <row r="18" spans="1:4">
      <c r="A18" t="s">
        <v>72</v>
      </c>
      <c r="B18" t="s">
        <v>73</v>
      </c>
      <c r="C18" s="3">
        <v>1.155</v>
      </c>
      <c r="D18" s="3">
        <v>0.05555555555555555</v>
      </c>
    </row>
    <row r="19" spans="1:4">
      <c r="A19" t="s">
        <v>74</v>
      </c>
      <c r="B19" t="s">
        <v>75</v>
      </c>
      <c r="C19" s="3">
        <v>1.155</v>
      </c>
      <c r="D19" s="3">
        <v>0.04861111111111111</v>
      </c>
    </row>
    <row r="20" spans="1:4">
      <c r="A20" t="s">
        <v>76</v>
      </c>
      <c r="B20" t="s">
        <v>77</v>
      </c>
      <c r="C20" s="3">
        <v>1.155</v>
      </c>
      <c r="D20" s="3">
        <v>0.04166666666666666</v>
      </c>
    </row>
    <row r="21" spans="1:4">
      <c r="A21" t="s">
        <v>78</v>
      </c>
      <c r="B21" t="s">
        <v>79</v>
      </c>
      <c r="C21" s="3">
        <v>1.155</v>
      </c>
      <c r="D21" s="3">
        <v>0.03472222222222222</v>
      </c>
    </row>
    <row r="22" spans="1:4">
      <c r="A22" t="s">
        <v>80</v>
      </c>
      <c r="B22" t="s">
        <v>81</v>
      </c>
      <c r="C22" s="3">
        <v>1.155</v>
      </c>
      <c r="D22" s="3">
        <v>0.02777777777777778</v>
      </c>
    </row>
    <row r="23" spans="1:4">
      <c r="A23" t="s">
        <v>82</v>
      </c>
      <c r="B23" t="s">
        <v>83</v>
      </c>
      <c r="C23" s="3">
        <v>1.155</v>
      </c>
      <c r="D23" s="3">
        <v>0.02083333333333333</v>
      </c>
    </row>
    <row r="24" spans="1:4">
      <c r="A24" t="s">
        <v>84</v>
      </c>
      <c r="B24" t="s">
        <v>85</v>
      </c>
      <c r="C24" s="3">
        <v>1.155</v>
      </c>
      <c r="D24" s="3">
        <v>0.01388888888888889</v>
      </c>
    </row>
    <row r="25" spans="1:4">
      <c r="A25" t="s">
        <v>86</v>
      </c>
      <c r="B25" t="s">
        <v>87</v>
      </c>
      <c r="C25" s="3">
        <v>1.155</v>
      </c>
      <c r="D25" s="3">
        <v>0.006944444444444444</v>
      </c>
    </row>
    <row r="27" spans="1:4">
      <c r="A27" s="4" t="s">
        <v>46</v>
      </c>
      <c r="C27" s="3">
        <f>SUMPRODUCT(C2:C25, D2:D25)</f>
        <v>0</v>
      </c>
    </row>
    <row r="28" spans="1:4">
      <c r="A28" s="4" t="s">
        <v>88</v>
      </c>
      <c r="C28" s="3">
        <f>'1. Rate History'!C5 / C27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Rate History</vt:lpstr>
      <vt:lpstr>2. WP Example</vt:lpstr>
      <vt:lpstr>3. CY EP Example (2020)</vt:lpstr>
      <vt:lpstr>4. PY EP Example (2020)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2026-03-23T18:35:38Z</dcterms:created>
  <dcterms:modified xsi:type="dcterms:W3CDTF">2026-03-23T18:35:38Z</dcterms:modified>
</cp:coreProperties>
</file>