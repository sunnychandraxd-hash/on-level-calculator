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te History" sheetId="1" r:id="rId1"/>
    <sheet name="WP Onleveling" sheetId="2" r:id="rId2"/>
    <sheet name="CY EP Onleveling" sheetId="3" r:id="rId3"/>
    <sheet name="PY EP Onleveling" sheetId="4" r:id="rId4"/>
  </sheets>
  <calcPr calcId="124519" fullCalcOnLoad="1"/>
</workbook>
</file>

<file path=xl/sharedStrings.xml><?xml version="1.0" encoding="utf-8"?>
<sst xmlns="http://schemas.openxmlformats.org/spreadsheetml/2006/main" count="62" uniqueCount="57">
  <si>
    <t>Date</t>
  </si>
  <si>
    <t>Rate Change</t>
  </si>
  <si>
    <t>Cumulative Level</t>
  </si>
  <si>
    <t>Evaluation Date:</t>
  </si>
  <si>
    <t>Current Level:</t>
  </si>
  <si>
    <t>Year</t>
  </si>
  <si>
    <t>Written Premium ($)</t>
  </si>
  <si>
    <t>Mid-Year Target Date</t>
  </si>
  <si>
    <t>Historic Auth Level</t>
  </si>
  <si>
    <t>Factor (Current/Hist)</t>
  </si>
  <si>
    <t>OnLevel Premium</t>
  </si>
  <si>
    <t>Mid-Term Changes:</t>
  </si>
  <si>
    <t>&lt;- Change to TRUE for Vertical Line</t>
  </si>
  <si>
    <t>Earned Premium ($)</t>
  </si>
  <si>
    <t>Month 1 Level</t>
  </si>
  <si>
    <t>Month 2 Level</t>
  </si>
  <si>
    <t>Month 3 Level</t>
  </si>
  <si>
    <t>Month 4 Level</t>
  </si>
  <si>
    <t>Month 5 Level</t>
  </si>
  <si>
    <t>Month 6 Level</t>
  </si>
  <si>
    <t>Month 7 Level</t>
  </si>
  <si>
    <t>Month 8 Level</t>
  </si>
  <si>
    <t>Month 9 Level</t>
  </si>
  <si>
    <t>Month 10 Level</t>
  </si>
  <si>
    <t>Month 11 Level</t>
  </si>
  <si>
    <t>Month 12 Level</t>
  </si>
  <si>
    <t>Average CY Level</t>
  </si>
  <si>
    <t>CY Factor</t>
  </si>
  <si>
    <t>CY OnLevel Premium</t>
  </si>
  <si>
    <t>M1 Lvl</t>
  </si>
  <si>
    <t>M2 Lvl</t>
  </si>
  <si>
    <t>M3 Lvl</t>
  </si>
  <si>
    <t>M4 Lvl</t>
  </si>
  <si>
    <t>M5 Lvl</t>
  </si>
  <si>
    <t>M6 Lvl</t>
  </si>
  <si>
    <t>M7 Lvl</t>
  </si>
  <si>
    <t>M8 Lvl</t>
  </si>
  <si>
    <t>M9 Lvl</t>
  </si>
  <si>
    <t>M10 Lvl</t>
  </si>
  <si>
    <t>M11 Lvl</t>
  </si>
  <si>
    <t>M12 Lvl</t>
  </si>
  <si>
    <t>M13 Lvl</t>
  </si>
  <si>
    <t>M14 Lvl</t>
  </si>
  <si>
    <t>M15 Lvl</t>
  </si>
  <si>
    <t>M16 Lvl</t>
  </si>
  <si>
    <t>M17 Lvl</t>
  </si>
  <si>
    <t>M18 Lvl</t>
  </si>
  <si>
    <t>M19 Lvl</t>
  </si>
  <si>
    <t>M20 Lvl</t>
  </si>
  <si>
    <t>M21 Lvl</t>
  </si>
  <si>
    <t>M22 Lvl</t>
  </si>
  <si>
    <t>M23 Lvl</t>
  </si>
  <si>
    <t>M24 Lvl</t>
  </si>
  <si>
    <t>Wt. Triangle Avg Level</t>
  </si>
  <si>
    <t>PY Factor</t>
  </si>
  <si>
    <t>PY OnLevel Premium</t>
  </si>
  <si>
    <t>Triangular Weights -&gt;</t>
  </si>
</sst>
</file>

<file path=xl/styles.xml><?xml version="1.0" encoding="utf-8"?>
<styleSheet xmlns="http://schemas.openxmlformats.org/spreadsheetml/2006/main">
  <numFmts count="4">
    <numFmt numFmtId="164" formatCode="yyyy-mm-dd"/>
    <numFmt numFmtId="165" formatCode="0.00%"/>
    <numFmt numFmtId="166" formatCode="0.0000"/>
    <numFmt numFmtId="167" formatCode="$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E0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FFDDC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0" xfId="0" applyFont="1"/>
    <xf numFmtId="166" fontId="0" fillId="3" borderId="0" xfId="0" applyNumberFormat="1" applyFill="1"/>
    <xf numFmtId="167" fontId="0" fillId="0" borderId="0" xfId="0" applyNumberFormat="1"/>
    <xf numFmtId="167" fontId="0" fillId="4" borderId="0" xfId="0" applyNumberFormat="1" applyFill="1"/>
    <xf numFmtId="0" fontId="1" fillId="5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cols>
    <col min="1" max="1" width="15.7109375" customWidth="1"/>
    <col min="2" max="4" width="18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0</v>
      </c>
      <c r="B2" s="3">
        <v>0</v>
      </c>
      <c r="C2" s="4">
        <v>1</v>
      </c>
    </row>
    <row r="3" spans="1:3">
      <c r="A3" s="2">
        <v>43101</v>
      </c>
      <c r="B3" s="3">
        <v>0.025</v>
      </c>
      <c r="C3" s="4">
        <f>C2 * (1 + B3)</f>
        <v>0</v>
      </c>
    </row>
    <row r="4" spans="1:3">
      <c r="A4" s="2">
        <v>43466</v>
      </c>
      <c r="B4" s="3">
        <v>0.03</v>
      </c>
      <c r="C4" s="4">
        <f>C3 * (1 + B4)</f>
        <v>0</v>
      </c>
    </row>
    <row r="5" spans="1:3">
      <c r="A5" s="2">
        <v>43831</v>
      </c>
      <c r="B5" s="3">
        <v>-0.015</v>
      </c>
      <c r="C5" s="4">
        <f>C4 * (1 + B5)</f>
        <v>0</v>
      </c>
    </row>
    <row r="6" spans="1:3">
      <c r="A6" s="2">
        <v>44197</v>
      </c>
      <c r="B6" s="3">
        <v>0.04</v>
      </c>
      <c r="C6" s="4">
        <f>C5 * (1 + B6)</f>
        <v>0</v>
      </c>
    </row>
    <row r="7" spans="1:3">
      <c r="A7" s="2">
        <v>44562</v>
      </c>
      <c r="B7" s="3">
        <v>0.05</v>
      </c>
      <c r="C7" s="4">
        <f>C6 * (1 + B7)</f>
        <v>0</v>
      </c>
    </row>
    <row r="8" spans="1:3">
      <c r="A8" s="2">
        <v>44927</v>
      </c>
      <c r="B8" s="3">
        <v>0.035</v>
      </c>
      <c r="C8" s="4">
        <f>C7 * (1 + B8)</f>
        <v>0</v>
      </c>
    </row>
    <row r="9" spans="1:3">
      <c r="A9" s="2">
        <v>45292</v>
      </c>
      <c r="B9" s="3">
        <v>0.02</v>
      </c>
      <c r="C9" s="4">
        <f>C8 * (1 + B9)</f>
        <v>0</v>
      </c>
    </row>
    <row r="10" spans="1:3">
      <c r="A10" s="2">
        <v>45658</v>
      </c>
      <c r="B10" s="3">
        <v>0.015</v>
      </c>
      <c r="C10" s="4">
        <f>C9 * (1 + B10)</f>
        <v>0</v>
      </c>
    </row>
    <row r="12" spans="1:3">
      <c r="A12" s="5" t="s">
        <v>3</v>
      </c>
      <c r="B12" s="2">
        <v>46022</v>
      </c>
    </row>
    <row r="13" spans="1:3">
      <c r="A13" s="5" t="s">
        <v>4</v>
      </c>
      <c r="C13" s="6">
        <f>VLOOKUP(B12, 'Rate History'!$A$2:$C$10, 3, TRUE)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cols>
    <col min="1" max="7" width="18.7109375" customWidth="1"/>
  </cols>
  <sheetData>
    <row r="1" spans="1:6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</row>
    <row r="2" spans="1:6">
      <c r="A2">
        <v>2015</v>
      </c>
      <c r="B2" s="7">
        <v>367378</v>
      </c>
      <c r="C2" s="2">
        <f>DATE(A2, 7, 1)</f>
        <v>0</v>
      </c>
      <c r="D2" s="4">
        <f>VLOOKUP(C2, 'Rate History'!$A$2:$C$10, 3, TRUE)</f>
        <v>0</v>
      </c>
      <c r="E2" s="6">
        <f>'Rate History'!$C$13 / D2</f>
        <v>0</v>
      </c>
      <c r="F2" s="8">
        <f>B2 * E2</f>
        <v>0</v>
      </c>
    </row>
    <row r="3" spans="1:6">
      <c r="A3">
        <v>2016</v>
      </c>
      <c r="B3" s="7">
        <v>104582</v>
      </c>
      <c r="C3" s="2">
        <f>DATE(A3, 7, 1)</f>
        <v>0</v>
      </c>
      <c r="D3" s="4">
        <f>VLOOKUP(C3, 'Rate History'!$A$2:$C$10, 3, TRUE)</f>
        <v>0</v>
      </c>
      <c r="E3" s="6">
        <f>'Rate History'!$C$13 / D3</f>
        <v>0</v>
      </c>
      <c r="F3" s="8">
        <f>B3 * E3</f>
        <v>0</v>
      </c>
    </row>
    <row r="4" spans="1:6">
      <c r="A4">
        <v>2017</v>
      </c>
      <c r="B4" s="7">
        <v>497650</v>
      </c>
      <c r="C4" s="2">
        <f>DATE(A4, 7, 1)</f>
        <v>0</v>
      </c>
      <c r="D4" s="4">
        <f>VLOOKUP(C4, 'Rate History'!$A$2:$C$10, 3, TRUE)</f>
        <v>0</v>
      </c>
      <c r="E4" s="6">
        <f>'Rate History'!$C$13 / D4</f>
        <v>0</v>
      </c>
      <c r="F4" s="8">
        <f>B4 * E4</f>
        <v>0</v>
      </c>
    </row>
    <row r="5" spans="1:6">
      <c r="A5">
        <v>2018</v>
      </c>
      <c r="B5" s="7">
        <v>321482</v>
      </c>
      <c r="C5" s="2">
        <f>DATE(A5, 7, 1)</f>
        <v>0</v>
      </c>
      <c r="D5" s="4">
        <f>VLOOKUP(C5, 'Rate History'!$A$2:$C$10, 3, TRUE)</f>
        <v>0</v>
      </c>
      <c r="E5" s="6">
        <f>'Rate History'!$C$13 / D5</f>
        <v>0</v>
      </c>
      <c r="F5" s="8">
        <f>B5 * E5</f>
        <v>0</v>
      </c>
    </row>
    <row r="6" spans="1:6">
      <c r="A6">
        <v>2019</v>
      </c>
      <c r="B6" s="7">
        <v>364931</v>
      </c>
      <c r="C6" s="2">
        <f>DATE(A6, 7, 1)</f>
        <v>0</v>
      </c>
      <c r="D6" s="4">
        <f>VLOOKUP(C6, 'Rate History'!$A$2:$C$10, 3, TRUE)</f>
        <v>0</v>
      </c>
      <c r="E6" s="6">
        <f>'Rate History'!$C$13 / D6</f>
        <v>0</v>
      </c>
      <c r="F6" s="8">
        <f>B6 * E6</f>
        <v>0</v>
      </c>
    </row>
    <row r="7" spans="1:6">
      <c r="A7">
        <v>2020</v>
      </c>
      <c r="B7" s="7">
        <v>314643</v>
      </c>
      <c r="C7" s="2">
        <f>DATE(A7, 7, 1)</f>
        <v>0</v>
      </c>
      <c r="D7" s="4">
        <f>VLOOKUP(C7, 'Rate History'!$A$2:$C$10, 3, TRUE)</f>
        <v>0</v>
      </c>
      <c r="E7" s="6">
        <f>'Rate History'!$C$13 / D7</f>
        <v>0</v>
      </c>
      <c r="F7" s="8">
        <f>B7 * E7</f>
        <v>0</v>
      </c>
    </row>
    <row r="8" spans="1:6">
      <c r="A8">
        <v>2021</v>
      </c>
      <c r="B8" s="7">
        <v>484462</v>
      </c>
      <c r="C8" s="2">
        <f>DATE(A8, 7, 1)</f>
        <v>0</v>
      </c>
      <c r="D8" s="4">
        <f>VLOOKUP(C8, 'Rate History'!$A$2:$C$10, 3, TRUE)</f>
        <v>0</v>
      </c>
      <c r="E8" s="6">
        <f>'Rate History'!$C$13 / D8</f>
        <v>0</v>
      </c>
      <c r="F8" s="8">
        <f>B8 * E8</f>
        <v>0</v>
      </c>
    </row>
    <row r="9" spans="1:6">
      <c r="A9">
        <v>2022</v>
      </c>
      <c r="B9" s="7">
        <v>365106</v>
      </c>
      <c r="C9" s="2">
        <f>DATE(A9, 7, 1)</f>
        <v>0</v>
      </c>
      <c r="D9" s="4">
        <f>VLOOKUP(C9, 'Rate History'!$A$2:$C$10, 3, TRUE)</f>
        <v>0</v>
      </c>
      <c r="E9" s="6">
        <f>'Rate History'!$C$13 / D9</f>
        <v>0</v>
      </c>
      <c r="F9" s="8">
        <f>B9 * E9</f>
        <v>0</v>
      </c>
    </row>
    <row r="10" spans="1:6">
      <c r="A10">
        <v>2023</v>
      </c>
      <c r="B10" s="7">
        <v>208127</v>
      </c>
      <c r="C10" s="2">
        <f>DATE(A10, 7, 1)</f>
        <v>0</v>
      </c>
      <c r="D10" s="4">
        <f>VLOOKUP(C10, 'Rate History'!$A$2:$C$10, 3, TRUE)</f>
        <v>0</v>
      </c>
      <c r="E10" s="6">
        <f>'Rate History'!$C$13 / D10</f>
        <v>0</v>
      </c>
      <c r="F10" s="8">
        <f>B10 * E10</f>
        <v>0</v>
      </c>
    </row>
    <row r="11" spans="1:6">
      <c r="A11">
        <v>2024</v>
      </c>
      <c r="B11" s="7">
        <v>453117</v>
      </c>
      <c r="C11" s="2">
        <f>DATE(A11, 7, 1)</f>
        <v>0</v>
      </c>
      <c r="D11" s="4">
        <f>VLOOKUP(C11, 'Rate History'!$A$2:$C$10, 3, TRUE)</f>
        <v>0</v>
      </c>
      <c r="E11" s="6">
        <f>'Rate History'!$C$13 / D11</f>
        <v>0</v>
      </c>
      <c r="F11" s="8">
        <f>B11 * E11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13"/>
  <sheetViews>
    <sheetView workbookViewId="0"/>
  </sheetViews>
  <sheetFormatPr defaultRowHeight="15"/>
  <cols>
    <col min="1" max="19" width="15.7109375" customWidth="1"/>
  </cols>
  <sheetData>
    <row r="1" spans="1:17">
      <c r="A1" s="5" t="s">
        <v>11</v>
      </c>
      <c r="B1" s="9" t="b">
        <v>0</v>
      </c>
      <c r="C1" s="5" t="s">
        <v>12</v>
      </c>
    </row>
    <row r="3" spans="1:17">
      <c r="A3" s="1" t="s">
        <v>5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  <c r="G3" s="1" t="s">
        <v>18</v>
      </c>
      <c r="H3" s="1" t="s">
        <v>19</v>
      </c>
      <c r="I3" s="1" t="s">
        <v>20</v>
      </c>
      <c r="J3" s="1" t="s">
        <v>21</v>
      </c>
      <c r="K3" s="1" t="s">
        <v>22</v>
      </c>
      <c r="L3" s="1" t="s">
        <v>23</v>
      </c>
      <c r="M3" s="1" t="s">
        <v>24</v>
      </c>
      <c r="N3" s="1" t="s">
        <v>25</v>
      </c>
      <c r="O3" s="1" t="s">
        <v>26</v>
      </c>
      <c r="P3" s="1" t="s">
        <v>27</v>
      </c>
      <c r="Q3" s="1" t="s">
        <v>28</v>
      </c>
    </row>
    <row r="4" spans="1:17">
      <c r="A4">
        <v>2015</v>
      </c>
      <c r="B4" s="7">
        <v>367378</v>
      </c>
      <c r="C4" s="4">
        <f>VLOOKUP(IF($B$1, DATE($A4, 1, 15), EDATE(DATE($A4, 1, 15), -6)), 'Rate History'!$A$2:$C$10, 3, TRUE)</f>
        <v>0</v>
      </c>
      <c r="D4" s="4">
        <f>VLOOKUP(IF($B$1, DATE($A4, 2, 15), EDATE(DATE($A4, 2, 15), -6)), 'Rate History'!$A$2:$C$10, 3, TRUE)</f>
        <v>0</v>
      </c>
      <c r="E4" s="4">
        <f>VLOOKUP(IF($B$1, DATE($A4, 3, 15), EDATE(DATE($A4, 3, 15), -6)), 'Rate History'!$A$2:$C$10, 3, TRUE)</f>
        <v>0</v>
      </c>
      <c r="F4" s="4">
        <f>VLOOKUP(IF($B$1, DATE($A4, 4, 15), EDATE(DATE($A4, 4, 15), -6)), 'Rate History'!$A$2:$C$10, 3, TRUE)</f>
        <v>0</v>
      </c>
      <c r="G4" s="4">
        <f>VLOOKUP(IF($B$1, DATE($A4, 5, 15), EDATE(DATE($A4, 5, 15), -6)), 'Rate History'!$A$2:$C$10, 3, TRUE)</f>
        <v>0</v>
      </c>
      <c r="H4" s="4">
        <f>VLOOKUP(IF($B$1, DATE($A4, 6, 15), EDATE(DATE($A4, 6, 15), -6)), 'Rate History'!$A$2:$C$10, 3, TRUE)</f>
        <v>0</v>
      </c>
      <c r="I4" s="4">
        <f>VLOOKUP(IF($B$1, DATE($A4, 7, 15), EDATE(DATE($A4, 7, 15), -6)), 'Rate History'!$A$2:$C$10, 3, TRUE)</f>
        <v>0</v>
      </c>
      <c r="J4" s="4">
        <f>VLOOKUP(IF($B$1, DATE($A4, 8, 15), EDATE(DATE($A4, 8, 15), -6)), 'Rate History'!$A$2:$C$10, 3, TRUE)</f>
        <v>0</v>
      </c>
      <c r="K4" s="4">
        <f>VLOOKUP(IF($B$1, DATE($A4, 9, 15), EDATE(DATE($A4, 9, 15), -6)), 'Rate History'!$A$2:$C$10, 3, TRUE)</f>
        <v>0</v>
      </c>
      <c r="L4" s="4">
        <f>VLOOKUP(IF($B$1, DATE($A4, 10, 15), EDATE(DATE($A4, 10, 15), -6)), 'Rate History'!$A$2:$C$10, 3, TRUE)</f>
        <v>0</v>
      </c>
      <c r="M4" s="4">
        <f>VLOOKUP(IF($B$1, DATE($A4, 11, 15), EDATE(DATE($A4, 11, 15), -6)), 'Rate History'!$A$2:$C$10, 3, TRUE)</f>
        <v>0</v>
      </c>
      <c r="N4" s="4">
        <f>VLOOKUP(IF($B$1, DATE($A4, 12, 15), EDATE(DATE($A4, 12, 15), -6)), 'Rate History'!$A$2:$C$10, 3, TRUE)</f>
        <v>0</v>
      </c>
      <c r="O4" s="4">
        <f>AVERAGE(C4:N4)</f>
        <v>0</v>
      </c>
      <c r="P4" s="6">
        <f>'Rate History'!$C$13 / O4</f>
        <v>0</v>
      </c>
      <c r="Q4" s="8">
        <f>$B4 * P4</f>
        <v>0</v>
      </c>
    </row>
    <row r="5" spans="1:17">
      <c r="A5">
        <v>2016</v>
      </c>
      <c r="B5" s="7">
        <v>104582</v>
      </c>
      <c r="C5" s="4">
        <f>VLOOKUP(IF($B$1, DATE($A5, 1, 15), EDATE(DATE($A5, 1, 15), -6)), 'Rate History'!$A$2:$C$10, 3, TRUE)</f>
        <v>0</v>
      </c>
      <c r="D5" s="4">
        <f>VLOOKUP(IF($B$1, DATE($A5, 2, 15), EDATE(DATE($A5, 2, 15), -6)), 'Rate History'!$A$2:$C$10, 3, TRUE)</f>
        <v>0</v>
      </c>
      <c r="E5" s="4">
        <f>VLOOKUP(IF($B$1, DATE($A5, 3, 15), EDATE(DATE($A5, 3, 15), -6)), 'Rate History'!$A$2:$C$10, 3, TRUE)</f>
        <v>0</v>
      </c>
      <c r="F5" s="4">
        <f>VLOOKUP(IF($B$1, DATE($A5, 4, 15), EDATE(DATE($A5, 4, 15), -6)), 'Rate History'!$A$2:$C$10, 3, TRUE)</f>
        <v>0</v>
      </c>
      <c r="G5" s="4">
        <f>VLOOKUP(IF($B$1, DATE($A5, 5, 15), EDATE(DATE($A5, 5, 15), -6)), 'Rate History'!$A$2:$C$10, 3, TRUE)</f>
        <v>0</v>
      </c>
      <c r="H5" s="4">
        <f>VLOOKUP(IF($B$1, DATE($A5, 6, 15), EDATE(DATE($A5, 6, 15), -6)), 'Rate History'!$A$2:$C$10, 3, TRUE)</f>
        <v>0</v>
      </c>
      <c r="I5" s="4">
        <f>VLOOKUP(IF($B$1, DATE($A5, 7, 15), EDATE(DATE($A5, 7, 15), -6)), 'Rate History'!$A$2:$C$10, 3, TRUE)</f>
        <v>0</v>
      </c>
      <c r="J5" s="4">
        <f>VLOOKUP(IF($B$1, DATE($A5, 8, 15), EDATE(DATE($A5, 8, 15), -6)), 'Rate History'!$A$2:$C$10, 3, TRUE)</f>
        <v>0</v>
      </c>
      <c r="K5" s="4">
        <f>VLOOKUP(IF($B$1, DATE($A5, 9, 15), EDATE(DATE($A5, 9, 15), -6)), 'Rate History'!$A$2:$C$10, 3, TRUE)</f>
        <v>0</v>
      </c>
      <c r="L5" s="4">
        <f>VLOOKUP(IF($B$1, DATE($A5, 10, 15), EDATE(DATE($A5, 10, 15), -6)), 'Rate History'!$A$2:$C$10, 3, TRUE)</f>
        <v>0</v>
      </c>
      <c r="M5" s="4">
        <f>VLOOKUP(IF($B$1, DATE($A5, 11, 15), EDATE(DATE($A5, 11, 15), -6)), 'Rate History'!$A$2:$C$10, 3, TRUE)</f>
        <v>0</v>
      </c>
      <c r="N5" s="4">
        <f>VLOOKUP(IF($B$1, DATE($A5, 12, 15), EDATE(DATE($A5, 12, 15), -6)), 'Rate History'!$A$2:$C$10, 3, TRUE)</f>
        <v>0</v>
      </c>
      <c r="O5" s="4">
        <f>AVERAGE(C5:N5)</f>
        <v>0</v>
      </c>
      <c r="P5" s="6">
        <f>'Rate History'!$C$13 / O5</f>
        <v>0</v>
      </c>
      <c r="Q5" s="8">
        <f>$B5 * P5</f>
        <v>0</v>
      </c>
    </row>
    <row r="6" spans="1:17">
      <c r="A6">
        <v>2017</v>
      </c>
      <c r="B6" s="7">
        <v>497650</v>
      </c>
      <c r="C6" s="4">
        <f>VLOOKUP(IF($B$1, DATE($A6, 1, 15), EDATE(DATE($A6, 1, 15), -6)), 'Rate History'!$A$2:$C$10, 3, TRUE)</f>
        <v>0</v>
      </c>
      <c r="D6" s="4">
        <f>VLOOKUP(IF($B$1, DATE($A6, 2, 15), EDATE(DATE($A6, 2, 15), -6)), 'Rate History'!$A$2:$C$10, 3, TRUE)</f>
        <v>0</v>
      </c>
      <c r="E6" s="4">
        <f>VLOOKUP(IF($B$1, DATE($A6, 3, 15), EDATE(DATE($A6, 3, 15), -6)), 'Rate History'!$A$2:$C$10, 3, TRUE)</f>
        <v>0</v>
      </c>
      <c r="F6" s="4">
        <f>VLOOKUP(IF($B$1, DATE($A6, 4, 15), EDATE(DATE($A6, 4, 15), -6)), 'Rate History'!$A$2:$C$10, 3, TRUE)</f>
        <v>0</v>
      </c>
      <c r="G6" s="4">
        <f>VLOOKUP(IF($B$1, DATE($A6, 5, 15), EDATE(DATE($A6, 5, 15), -6)), 'Rate History'!$A$2:$C$10, 3, TRUE)</f>
        <v>0</v>
      </c>
      <c r="H6" s="4">
        <f>VLOOKUP(IF($B$1, DATE($A6, 6, 15), EDATE(DATE($A6, 6, 15), -6)), 'Rate History'!$A$2:$C$10, 3, TRUE)</f>
        <v>0</v>
      </c>
      <c r="I6" s="4">
        <f>VLOOKUP(IF($B$1, DATE($A6, 7, 15), EDATE(DATE($A6, 7, 15), -6)), 'Rate History'!$A$2:$C$10, 3, TRUE)</f>
        <v>0</v>
      </c>
      <c r="J6" s="4">
        <f>VLOOKUP(IF($B$1, DATE($A6, 8, 15), EDATE(DATE($A6, 8, 15), -6)), 'Rate History'!$A$2:$C$10, 3, TRUE)</f>
        <v>0</v>
      </c>
      <c r="K6" s="4">
        <f>VLOOKUP(IF($B$1, DATE($A6, 9, 15), EDATE(DATE($A6, 9, 15), -6)), 'Rate History'!$A$2:$C$10, 3, TRUE)</f>
        <v>0</v>
      </c>
      <c r="L6" s="4">
        <f>VLOOKUP(IF($B$1, DATE($A6, 10, 15), EDATE(DATE($A6, 10, 15), -6)), 'Rate History'!$A$2:$C$10, 3, TRUE)</f>
        <v>0</v>
      </c>
      <c r="M6" s="4">
        <f>VLOOKUP(IF($B$1, DATE($A6, 11, 15), EDATE(DATE($A6, 11, 15), -6)), 'Rate History'!$A$2:$C$10, 3, TRUE)</f>
        <v>0</v>
      </c>
      <c r="N6" s="4">
        <f>VLOOKUP(IF($B$1, DATE($A6, 12, 15), EDATE(DATE($A6, 12, 15), -6)), 'Rate History'!$A$2:$C$10, 3, TRUE)</f>
        <v>0</v>
      </c>
      <c r="O6" s="4">
        <f>AVERAGE(C6:N6)</f>
        <v>0</v>
      </c>
      <c r="P6" s="6">
        <f>'Rate History'!$C$13 / O6</f>
        <v>0</v>
      </c>
      <c r="Q6" s="8">
        <f>$B6 * P6</f>
        <v>0</v>
      </c>
    </row>
    <row r="7" spans="1:17">
      <c r="A7">
        <v>2018</v>
      </c>
      <c r="B7" s="7">
        <v>321482</v>
      </c>
      <c r="C7" s="4">
        <f>VLOOKUP(IF($B$1, DATE($A7, 1, 15), EDATE(DATE($A7, 1, 15), -6)), 'Rate History'!$A$2:$C$10, 3, TRUE)</f>
        <v>0</v>
      </c>
      <c r="D7" s="4">
        <f>VLOOKUP(IF($B$1, DATE($A7, 2, 15), EDATE(DATE($A7, 2, 15), -6)), 'Rate History'!$A$2:$C$10, 3, TRUE)</f>
        <v>0</v>
      </c>
      <c r="E7" s="4">
        <f>VLOOKUP(IF($B$1, DATE($A7, 3, 15), EDATE(DATE($A7, 3, 15), -6)), 'Rate History'!$A$2:$C$10, 3, TRUE)</f>
        <v>0</v>
      </c>
      <c r="F7" s="4">
        <f>VLOOKUP(IF($B$1, DATE($A7, 4, 15), EDATE(DATE($A7, 4, 15), -6)), 'Rate History'!$A$2:$C$10, 3, TRUE)</f>
        <v>0</v>
      </c>
      <c r="G7" s="4">
        <f>VLOOKUP(IF($B$1, DATE($A7, 5, 15), EDATE(DATE($A7, 5, 15), -6)), 'Rate History'!$A$2:$C$10, 3, TRUE)</f>
        <v>0</v>
      </c>
      <c r="H7" s="4">
        <f>VLOOKUP(IF($B$1, DATE($A7, 6, 15), EDATE(DATE($A7, 6, 15), -6)), 'Rate History'!$A$2:$C$10, 3, TRUE)</f>
        <v>0</v>
      </c>
      <c r="I7" s="4">
        <f>VLOOKUP(IF($B$1, DATE($A7, 7, 15), EDATE(DATE($A7, 7, 15), -6)), 'Rate History'!$A$2:$C$10, 3, TRUE)</f>
        <v>0</v>
      </c>
      <c r="J7" s="4">
        <f>VLOOKUP(IF($B$1, DATE($A7, 8, 15), EDATE(DATE($A7, 8, 15), -6)), 'Rate History'!$A$2:$C$10, 3, TRUE)</f>
        <v>0</v>
      </c>
      <c r="K7" s="4">
        <f>VLOOKUP(IF($B$1, DATE($A7, 9, 15), EDATE(DATE($A7, 9, 15), -6)), 'Rate History'!$A$2:$C$10, 3, TRUE)</f>
        <v>0</v>
      </c>
      <c r="L7" s="4">
        <f>VLOOKUP(IF($B$1, DATE($A7, 10, 15), EDATE(DATE($A7, 10, 15), -6)), 'Rate History'!$A$2:$C$10, 3, TRUE)</f>
        <v>0</v>
      </c>
      <c r="M7" s="4">
        <f>VLOOKUP(IF($B$1, DATE($A7, 11, 15), EDATE(DATE($A7, 11, 15), -6)), 'Rate History'!$A$2:$C$10, 3, TRUE)</f>
        <v>0</v>
      </c>
      <c r="N7" s="4">
        <f>VLOOKUP(IF($B$1, DATE($A7, 12, 15), EDATE(DATE($A7, 12, 15), -6)), 'Rate History'!$A$2:$C$10, 3, TRUE)</f>
        <v>0</v>
      </c>
      <c r="O7" s="4">
        <f>AVERAGE(C7:N7)</f>
        <v>0</v>
      </c>
      <c r="P7" s="6">
        <f>'Rate History'!$C$13 / O7</f>
        <v>0</v>
      </c>
      <c r="Q7" s="8">
        <f>$B7 * P7</f>
        <v>0</v>
      </c>
    </row>
    <row r="8" spans="1:17">
      <c r="A8">
        <v>2019</v>
      </c>
      <c r="B8" s="7">
        <v>364931</v>
      </c>
      <c r="C8" s="4">
        <f>VLOOKUP(IF($B$1, DATE($A8, 1, 15), EDATE(DATE($A8, 1, 15), -6)), 'Rate History'!$A$2:$C$10, 3, TRUE)</f>
        <v>0</v>
      </c>
      <c r="D8" s="4">
        <f>VLOOKUP(IF($B$1, DATE($A8, 2, 15), EDATE(DATE($A8, 2, 15), -6)), 'Rate History'!$A$2:$C$10, 3, TRUE)</f>
        <v>0</v>
      </c>
      <c r="E8" s="4">
        <f>VLOOKUP(IF($B$1, DATE($A8, 3, 15), EDATE(DATE($A8, 3, 15), -6)), 'Rate History'!$A$2:$C$10, 3, TRUE)</f>
        <v>0</v>
      </c>
      <c r="F8" s="4">
        <f>VLOOKUP(IF($B$1, DATE($A8, 4, 15), EDATE(DATE($A8, 4, 15), -6)), 'Rate History'!$A$2:$C$10, 3, TRUE)</f>
        <v>0</v>
      </c>
      <c r="G8" s="4">
        <f>VLOOKUP(IF($B$1, DATE($A8, 5, 15), EDATE(DATE($A8, 5, 15), -6)), 'Rate History'!$A$2:$C$10, 3, TRUE)</f>
        <v>0</v>
      </c>
      <c r="H8" s="4">
        <f>VLOOKUP(IF($B$1, DATE($A8, 6, 15), EDATE(DATE($A8, 6, 15), -6)), 'Rate History'!$A$2:$C$10, 3, TRUE)</f>
        <v>0</v>
      </c>
      <c r="I8" s="4">
        <f>VLOOKUP(IF($B$1, DATE($A8, 7, 15), EDATE(DATE($A8, 7, 15), -6)), 'Rate History'!$A$2:$C$10, 3, TRUE)</f>
        <v>0</v>
      </c>
      <c r="J8" s="4">
        <f>VLOOKUP(IF($B$1, DATE($A8, 8, 15), EDATE(DATE($A8, 8, 15), -6)), 'Rate History'!$A$2:$C$10, 3, TRUE)</f>
        <v>0</v>
      </c>
      <c r="K8" s="4">
        <f>VLOOKUP(IF($B$1, DATE($A8, 9, 15), EDATE(DATE($A8, 9, 15), -6)), 'Rate History'!$A$2:$C$10, 3, TRUE)</f>
        <v>0</v>
      </c>
      <c r="L8" s="4">
        <f>VLOOKUP(IF($B$1, DATE($A8, 10, 15), EDATE(DATE($A8, 10, 15), -6)), 'Rate History'!$A$2:$C$10, 3, TRUE)</f>
        <v>0</v>
      </c>
      <c r="M8" s="4">
        <f>VLOOKUP(IF($B$1, DATE($A8, 11, 15), EDATE(DATE($A8, 11, 15), -6)), 'Rate History'!$A$2:$C$10, 3, TRUE)</f>
        <v>0</v>
      </c>
      <c r="N8" s="4">
        <f>VLOOKUP(IF($B$1, DATE($A8, 12, 15), EDATE(DATE($A8, 12, 15), -6)), 'Rate History'!$A$2:$C$10, 3, TRUE)</f>
        <v>0</v>
      </c>
      <c r="O8" s="4">
        <f>AVERAGE(C8:N8)</f>
        <v>0</v>
      </c>
      <c r="P8" s="6">
        <f>'Rate History'!$C$13 / O8</f>
        <v>0</v>
      </c>
      <c r="Q8" s="8">
        <f>$B8 * P8</f>
        <v>0</v>
      </c>
    </row>
    <row r="9" spans="1:17">
      <c r="A9">
        <v>2020</v>
      </c>
      <c r="B9" s="7">
        <v>314643</v>
      </c>
      <c r="C9" s="4">
        <f>VLOOKUP(IF($B$1, DATE($A9, 1, 15), EDATE(DATE($A9, 1, 15), -6)), 'Rate History'!$A$2:$C$10, 3, TRUE)</f>
        <v>0</v>
      </c>
      <c r="D9" s="4">
        <f>VLOOKUP(IF($B$1, DATE($A9, 2, 15), EDATE(DATE($A9, 2, 15), -6)), 'Rate History'!$A$2:$C$10, 3, TRUE)</f>
        <v>0</v>
      </c>
      <c r="E9" s="4">
        <f>VLOOKUP(IF($B$1, DATE($A9, 3, 15), EDATE(DATE($A9, 3, 15), -6)), 'Rate History'!$A$2:$C$10, 3, TRUE)</f>
        <v>0</v>
      </c>
      <c r="F9" s="4">
        <f>VLOOKUP(IF($B$1, DATE($A9, 4, 15), EDATE(DATE($A9, 4, 15), -6)), 'Rate History'!$A$2:$C$10, 3, TRUE)</f>
        <v>0</v>
      </c>
      <c r="G9" s="4">
        <f>VLOOKUP(IF($B$1, DATE($A9, 5, 15), EDATE(DATE($A9, 5, 15), -6)), 'Rate History'!$A$2:$C$10, 3, TRUE)</f>
        <v>0</v>
      </c>
      <c r="H9" s="4">
        <f>VLOOKUP(IF($B$1, DATE($A9, 6, 15), EDATE(DATE($A9, 6, 15), -6)), 'Rate History'!$A$2:$C$10, 3, TRUE)</f>
        <v>0</v>
      </c>
      <c r="I9" s="4">
        <f>VLOOKUP(IF($B$1, DATE($A9, 7, 15), EDATE(DATE($A9, 7, 15), -6)), 'Rate History'!$A$2:$C$10, 3, TRUE)</f>
        <v>0</v>
      </c>
      <c r="J9" s="4">
        <f>VLOOKUP(IF($B$1, DATE($A9, 8, 15), EDATE(DATE($A9, 8, 15), -6)), 'Rate History'!$A$2:$C$10, 3, TRUE)</f>
        <v>0</v>
      </c>
      <c r="K9" s="4">
        <f>VLOOKUP(IF($B$1, DATE($A9, 9, 15), EDATE(DATE($A9, 9, 15), -6)), 'Rate History'!$A$2:$C$10, 3, TRUE)</f>
        <v>0</v>
      </c>
      <c r="L9" s="4">
        <f>VLOOKUP(IF($B$1, DATE($A9, 10, 15), EDATE(DATE($A9, 10, 15), -6)), 'Rate History'!$A$2:$C$10, 3, TRUE)</f>
        <v>0</v>
      </c>
      <c r="M9" s="4">
        <f>VLOOKUP(IF($B$1, DATE($A9, 11, 15), EDATE(DATE($A9, 11, 15), -6)), 'Rate History'!$A$2:$C$10, 3, TRUE)</f>
        <v>0</v>
      </c>
      <c r="N9" s="4">
        <f>VLOOKUP(IF($B$1, DATE($A9, 12, 15), EDATE(DATE($A9, 12, 15), -6)), 'Rate History'!$A$2:$C$10, 3, TRUE)</f>
        <v>0</v>
      </c>
      <c r="O9" s="4">
        <f>AVERAGE(C9:N9)</f>
        <v>0</v>
      </c>
      <c r="P9" s="6">
        <f>'Rate History'!$C$13 / O9</f>
        <v>0</v>
      </c>
      <c r="Q9" s="8">
        <f>$B9 * P9</f>
        <v>0</v>
      </c>
    </row>
    <row r="10" spans="1:17">
      <c r="A10">
        <v>2021</v>
      </c>
      <c r="B10" s="7">
        <v>484462</v>
      </c>
      <c r="C10" s="4">
        <f>VLOOKUP(IF($B$1, DATE($A10, 1, 15), EDATE(DATE($A10, 1, 15), -6)), 'Rate History'!$A$2:$C$10, 3, TRUE)</f>
        <v>0</v>
      </c>
      <c r="D10" s="4">
        <f>VLOOKUP(IF($B$1, DATE($A10, 2, 15), EDATE(DATE($A10, 2, 15), -6)), 'Rate History'!$A$2:$C$10, 3, TRUE)</f>
        <v>0</v>
      </c>
      <c r="E10" s="4">
        <f>VLOOKUP(IF($B$1, DATE($A10, 3, 15), EDATE(DATE($A10, 3, 15), -6)), 'Rate History'!$A$2:$C$10, 3, TRUE)</f>
        <v>0</v>
      </c>
      <c r="F10" s="4">
        <f>VLOOKUP(IF($B$1, DATE($A10, 4, 15), EDATE(DATE($A10, 4, 15), -6)), 'Rate History'!$A$2:$C$10, 3, TRUE)</f>
        <v>0</v>
      </c>
      <c r="G10" s="4">
        <f>VLOOKUP(IF($B$1, DATE($A10, 5, 15), EDATE(DATE($A10, 5, 15), -6)), 'Rate History'!$A$2:$C$10, 3, TRUE)</f>
        <v>0</v>
      </c>
      <c r="H10" s="4">
        <f>VLOOKUP(IF($B$1, DATE($A10, 6, 15), EDATE(DATE($A10, 6, 15), -6)), 'Rate History'!$A$2:$C$10, 3, TRUE)</f>
        <v>0</v>
      </c>
      <c r="I10" s="4">
        <f>VLOOKUP(IF($B$1, DATE($A10, 7, 15), EDATE(DATE($A10, 7, 15), -6)), 'Rate History'!$A$2:$C$10, 3, TRUE)</f>
        <v>0</v>
      </c>
      <c r="J10" s="4">
        <f>VLOOKUP(IF($B$1, DATE($A10, 8, 15), EDATE(DATE($A10, 8, 15), -6)), 'Rate History'!$A$2:$C$10, 3, TRUE)</f>
        <v>0</v>
      </c>
      <c r="K10" s="4">
        <f>VLOOKUP(IF($B$1, DATE($A10, 9, 15), EDATE(DATE($A10, 9, 15), -6)), 'Rate History'!$A$2:$C$10, 3, TRUE)</f>
        <v>0</v>
      </c>
      <c r="L10" s="4">
        <f>VLOOKUP(IF($B$1, DATE($A10, 10, 15), EDATE(DATE($A10, 10, 15), -6)), 'Rate History'!$A$2:$C$10, 3, TRUE)</f>
        <v>0</v>
      </c>
      <c r="M10" s="4">
        <f>VLOOKUP(IF($B$1, DATE($A10, 11, 15), EDATE(DATE($A10, 11, 15), -6)), 'Rate History'!$A$2:$C$10, 3, TRUE)</f>
        <v>0</v>
      </c>
      <c r="N10" s="4">
        <f>VLOOKUP(IF($B$1, DATE($A10, 12, 15), EDATE(DATE($A10, 12, 15), -6)), 'Rate History'!$A$2:$C$10, 3, TRUE)</f>
        <v>0</v>
      </c>
      <c r="O10" s="4">
        <f>AVERAGE(C10:N10)</f>
        <v>0</v>
      </c>
      <c r="P10" s="6">
        <f>'Rate History'!$C$13 / O10</f>
        <v>0</v>
      </c>
      <c r="Q10" s="8">
        <f>$B10 * P10</f>
        <v>0</v>
      </c>
    </row>
    <row r="11" spans="1:17">
      <c r="A11">
        <v>2022</v>
      </c>
      <c r="B11" s="7">
        <v>365106</v>
      </c>
      <c r="C11" s="4">
        <f>VLOOKUP(IF($B$1, DATE($A11, 1, 15), EDATE(DATE($A11, 1, 15), -6)), 'Rate History'!$A$2:$C$10, 3, TRUE)</f>
        <v>0</v>
      </c>
      <c r="D11" s="4">
        <f>VLOOKUP(IF($B$1, DATE($A11, 2, 15), EDATE(DATE($A11, 2, 15), -6)), 'Rate History'!$A$2:$C$10, 3, TRUE)</f>
        <v>0</v>
      </c>
      <c r="E11" s="4">
        <f>VLOOKUP(IF($B$1, DATE($A11, 3, 15), EDATE(DATE($A11, 3, 15), -6)), 'Rate History'!$A$2:$C$10, 3, TRUE)</f>
        <v>0</v>
      </c>
      <c r="F11" s="4">
        <f>VLOOKUP(IF($B$1, DATE($A11, 4, 15), EDATE(DATE($A11, 4, 15), -6)), 'Rate History'!$A$2:$C$10, 3, TRUE)</f>
        <v>0</v>
      </c>
      <c r="G11" s="4">
        <f>VLOOKUP(IF($B$1, DATE($A11, 5, 15), EDATE(DATE($A11, 5, 15), -6)), 'Rate History'!$A$2:$C$10, 3, TRUE)</f>
        <v>0</v>
      </c>
      <c r="H11" s="4">
        <f>VLOOKUP(IF($B$1, DATE($A11, 6, 15), EDATE(DATE($A11, 6, 15), -6)), 'Rate History'!$A$2:$C$10, 3, TRUE)</f>
        <v>0</v>
      </c>
      <c r="I11" s="4">
        <f>VLOOKUP(IF($B$1, DATE($A11, 7, 15), EDATE(DATE($A11, 7, 15), -6)), 'Rate History'!$A$2:$C$10, 3, TRUE)</f>
        <v>0</v>
      </c>
      <c r="J11" s="4">
        <f>VLOOKUP(IF($B$1, DATE($A11, 8, 15), EDATE(DATE($A11, 8, 15), -6)), 'Rate History'!$A$2:$C$10, 3, TRUE)</f>
        <v>0</v>
      </c>
      <c r="K11" s="4">
        <f>VLOOKUP(IF($B$1, DATE($A11, 9, 15), EDATE(DATE($A11, 9, 15), -6)), 'Rate History'!$A$2:$C$10, 3, TRUE)</f>
        <v>0</v>
      </c>
      <c r="L11" s="4">
        <f>VLOOKUP(IF($B$1, DATE($A11, 10, 15), EDATE(DATE($A11, 10, 15), -6)), 'Rate History'!$A$2:$C$10, 3, TRUE)</f>
        <v>0</v>
      </c>
      <c r="M11" s="4">
        <f>VLOOKUP(IF($B$1, DATE($A11, 11, 15), EDATE(DATE($A11, 11, 15), -6)), 'Rate History'!$A$2:$C$10, 3, TRUE)</f>
        <v>0</v>
      </c>
      <c r="N11" s="4">
        <f>VLOOKUP(IF($B$1, DATE($A11, 12, 15), EDATE(DATE($A11, 12, 15), -6)), 'Rate History'!$A$2:$C$10, 3, TRUE)</f>
        <v>0</v>
      </c>
      <c r="O11" s="4">
        <f>AVERAGE(C11:N11)</f>
        <v>0</v>
      </c>
      <c r="P11" s="6">
        <f>'Rate History'!$C$13 / O11</f>
        <v>0</v>
      </c>
      <c r="Q11" s="8">
        <f>$B11 * P11</f>
        <v>0</v>
      </c>
    </row>
    <row r="12" spans="1:17">
      <c r="A12">
        <v>2023</v>
      </c>
      <c r="B12" s="7">
        <v>208127</v>
      </c>
      <c r="C12" s="4">
        <f>VLOOKUP(IF($B$1, DATE($A12, 1, 15), EDATE(DATE($A12, 1, 15), -6)), 'Rate History'!$A$2:$C$10, 3, TRUE)</f>
        <v>0</v>
      </c>
      <c r="D12" s="4">
        <f>VLOOKUP(IF($B$1, DATE($A12, 2, 15), EDATE(DATE($A12, 2, 15), -6)), 'Rate History'!$A$2:$C$10, 3, TRUE)</f>
        <v>0</v>
      </c>
      <c r="E12" s="4">
        <f>VLOOKUP(IF($B$1, DATE($A12, 3, 15), EDATE(DATE($A12, 3, 15), -6)), 'Rate History'!$A$2:$C$10, 3, TRUE)</f>
        <v>0</v>
      </c>
      <c r="F12" s="4">
        <f>VLOOKUP(IF($B$1, DATE($A12, 4, 15), EDATE(DATE($A12, 4, 15), -6)), 'Rate History'!$A$2:$C$10, 3, TRUE)</f>
        <v>0</v>
      </c>
      <c r="G12" s="4">
        <f>VLOOKUP(IF($B$1, DATE($A12, 5, 15), EDATE(DATE($A12, 5, 15), -6)), 'Rate History'!$A$2:$C$10, 3, TRUE)</f>
        <v>0</v>
      </c>
      <c r="H12" s="4">
        <f>VLOOKUP(IF($B$1, DATE($A12, 6, 15), EDATE(DATE($A12, 6, 15), -6)), 'Rate History'!$A$2:$C$10, 3, TRUE)</f>
        <v>0</v>
      </c>
      <c r="I12" s="4">
        <f>VLOOKUP(IF($B$1, DATE($A12, 7, 15), EDATE(DATE($A12, 7, 15), -6)), 'Rate History'!$A$2:$C$10, 3, TRUE)</f>
        <v>0</v>
      </c>
      <c r="J12" s="4">
        <f>VLOOKUP(IF($B$1, DATE($A12, 8, 15), EDATE(DATE($A12, 8, 15), -6)), 'Rate History'!$A$2:$C$10, 3, TRUE)</f>
        <v>0</v>
      </c>
      <c r="K12" s="4">
        <f>VLOOKUP(IF($B$1, DATE($A12, 9, 15), EDATE(DATE($A12, 9, 15), -6)), 'Rate History'!$A$2:$C$10, 3, TRUE)</f>
        <v>0</v>
      </c>
      <c r="L12" s="4">
        <f>VLOOKUP(IF($B$1, DATE($A12, 10, 15), EDATE(DATE($A12, 10, 15), -6)), 'Rate History'!$A$2:$C$10, 3, TRUE)</f>
        <v>0</v>
      </c>
      <c r="M12" s="4">
        <f>VLOOKUP(IF($B$1, DATE($A12, 11, 15), EDATE(DATE($A12, 11, 15), -6)), 'Rate History'!$A$2:$C$10, 3, TRUE)</f>
        <v>0</v>
      </c>
      <c r="N12" s="4">
        <f>VLOOKUP(IF($B$1, DATE($A12, 12, 15), EDATE(DATE($A12, 12, 15), -6)), 'Rate History'!$A$2:$C$10, 3, TRUE)</f>
        <v>0</v>
      </c>
      <c r="O12" s="4">
        <f>AVERAGE(C12:N12)</f>
        <v>0</v>
      </c>
      <c r="P12" s="6">
        <f>'Rate History'!$C$13 / O12</f>
        <v>0</v>
      </c>
      <c r="Q12" s="8">
        <f>$B12 * P12</f>
        <v>0</v>
      </c>
    </row>
    <row r="13" spans="1:17">
      <c r="A13">
        <v>2024</v>
      </c>
      <c r="B13" s="7">
        <v>453117</v>
      </c>
      <c r="C13" s="4">
        <f>VLOOKUP(IF($B$1, DATE($A13, 1, 15), EDATE(DATE($A13, 1, 15), -6)), 'Rate History'!$A$2:$C$10, 3, TRUE)</f>
        <v>0</v>
      </c>
      <c r="D13" s="4">
        <f>VLOOKUP(IF($B$1, DATE($A13, 2, 15), EDATE(DATE($A13, 2, 15), -6)), 'Rate History'!$A$2:$C$10, 3, TRUE)</f>
        <v>0</v>
      </c>
      <c r="E13" s="4">
        <f>VLOOKUP(IF($B$1, DATE($A13, 3, 15), EDATE(DATE($A13, 3, 15), -6)), 'Rate History'!$A$2:$C$10, 3, TRUE)</f>
        <v>0</v>
      </c>
      <c r="F13" s="4">
        <f>VLOOKUP(IF($B$1, DATE($A13, 4, 15), EDATE(DATE($A13, 4, 15), -6)), 'Rate History'!$A$2:$C$10, 3, TRUE)</f>
        <v>0</v>
      </c>
      <c r="G13" s="4">
        <f>VLOOKUP(IF($B$1, DATE($A13, 5, 15), EDATE(DATE($A13, 5, 15), -6)), 'Rate History'!$A$2:$C$10, 3, TRUE)</f>
        <v>0</v>
      </c>
      <c r="H13" s="4">
        <f>VLOOKUP(IF($B$1, DATE($A13, 6, 15), EDATE(DATE($A13, 6, 15), -6)), 'Rate History'!$A$2:$C$10, 3, TRUE)</f>
        <v>0</v>
      </c>
      <c r="I13" s="4">
        <f>VLOOKUP(IF($B$1, DATE($A13, 7, 15), EDATE(DATE($A13, 7, 15), -6)), 'Rate History'!$A$2:$C$10, 3, TRUE)</f>
        <v>0</v>
      </c>
      <c r="J13" s="4">
        <f>VLOOKUP(IF($B$1, DATE($A13, 8, 15), EDATE(DATE($A13, 8, 15), -6)), 'Rate History'!$A$2:$C$10, 3, TRUE)</f>
        <v>0</v>
      </c>
      <c r="K13" s="4">
        <f>VLOOKUP(IF($B$1, DATE($A13, 9, 15), EDATE(DATE($A13, 9, 15), -6)), 'Rate History'!$A$2:$C$10, 3, TRUE)</f>
        <v>0</v>
      </c>
      <c r="L13" s="4">
        <f>VLOOKUP(IF($B$1, DATE($A13, 10, 15), EDATE(DATE($A13, 10, 15), -6)), 'Rate History'!$A$2:$C$10, 3, TRUE)</f>
        <v>0</v>
      </c>
      <c r="M13" s="4">
        <f>VLOOKUP(IF($B$1, DATE($A13, 11, 15), EDATE(DATE($A13, 11, 15), -6)), 'Rate History'!$A$2:$C$10, 3, TRUE)</f>
        <v>0</v>
      </c>
      <c r="N13" s="4">
        <f>VLOOKUP(IF($B$1, DATE($A13, 12, 15), EDATE(DATE($A13, 12, 15), -6)), 'Rate History'!$A$2:$C$10, 3, TRUE)</f>
        <v>0</v>
      </c>
      <c r="O13" s="4">
        <f>AVERAGE(C13:N13)</f>
        <v>0</v>
      </c>
      <c r="P13" s="6">
        <f>'Rate History'!$C$13 / O13</f>
        <v>0</v>
      </c>
      <c r="Q13" s="8">
        <f>$B13 * P13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C14"/>
  <sheetViews>
    <sheetView workbookViewId="0"/>
  </sheetViews>
  <sheetFormatPr defaultRowHeight="15"/>
  <cols>
    <col min="1" max="30" width="15.7109375" customWidth="1"/>
  </cols>
  <sheetData>
    <row r="1" spans="1:29">
      <c r="A1" s="5" t="s">
        <v>11</v>
      </c>
      <c r="B1" s="9" t="b">
        <v>0</v>
      </c>
      <c r="C1" s="5" t="s">
        <v>12</v>
      </c>
    </row>
    <row r="3" spans="1:29">
      <c r="A3" s="1" t="s">
        <v>5</v>
      </c>
      <c r="B3" s="1" t="s">
        <v>13</v>
      </c>
      <c r="C3" s="1" t="s">
        <v>29</v>
      </c>
      <c r="D3" s="1" t="s">
        <v>30</v>
      </c>
      <c r="E3" s="1" t="s">
        <v>31</v>
      </c>
      <c r="F3" s="1" t="s">
        <v>32</v>
      </c>
      <c r="G3" s="1" t="s">
        <v>33</v>
      </c>
      <c r="H3" s="1" t="s">
        <v>34</v>
      </c>
      <c r="I3" s="1" t="s">
        <v>35</v>
      </c>
      <c r="J3" s="1" t="s">
        <v>36</v>
      </c>
      <c r="K3" s="1" t="s">
        <v>37</v>
      </c>
      <c r="L3" s="1" t="s">
        <v>38</v>
      </c>
      <c r="M3" s="1" t="s">
        <v>39</v>
      </c>
      <c r="N3" s="1" t="s">
        <v>40</v>
      </c>
      <c r="O3" s="1" t="s">
        <v>41</v>
      </c>
      <c r="P3" s="1" t="s">
        <v>42</v>
      </c>
      <c r="Q3" s="1" t="s">
        <v>43</v>
      </c>
      <c r="R3" s="1" t="s">
        <v>44</v>
      </c>
      <c r="S3" s="1" t="s">
        <v>45</v>
      </c>
      <c r="T3" s="1" t="s">
        <v>46</v>
      </c>
      <c r="U3" s="1" t="s">
        <v>47</v>
      </c>
      <c r="V3" s="1" t="s">
        <v>48</v>
      </c>
      <c r="W3" s="1" t="s">
        <v>49</v>
      </c>
      <c r="X3" s="1" t="s">
        <v>50</v>
      </c>
      <c r="Y3" s="1" t="s">
        <v>51</v>
      </c>
      <c r="Z3" s="1" t="s">
        <v>52</v>
      </c>
      <c r="AA3" s="1" t="s">
        <v>53</v>
      </c>
      <c r="AB3" s="1" t="s">
        <v>54</v>
      </c>
      <c r="AC3" s="1" t="s">
        <v>55</v>
      </c>
    </row>
    <row r="4" spans="1:29">
      <c r="A4" s="5" t="s">
        <v>56</v>
      </c>
      <c r="C4" s="4">
        <v>0.006944444444444444</v>
      </c>
      <c r="D4" s="4">
        <v>0.01388888888888889</v>
      </c>
      <c r="E4" s="4">
        <v>0.02083333333333333</v>
      </c>
      <c r="F4" s="4">
        <v>0.02777777777777778</v>
      </c>
      <c r="G4" s="4">
        <v>0.03472222222222222</v>
      </c>
      <c r="H4" s="4">
        <v>0.04166666666666666</v>
      </c>
      <c r="I4" s="4">
        <v>0.04861111111111111</v>
      </c>
      <c r="J4" s="4">
        <v>0.05555555555555555</v>
      </c>
      <c r="K4" s="4">
        <v>0.0625</v>
      </c>
      <c r="L4" s="4">
        <v>0.06944444444444445</v>
      </c>
      <c r="M4" s="4">
        <v>0.0763888888888889</v>
      </c>
      <c r="N4" s="4">
        <v>0.08333333333333333</v>
      </c>
      <c r="O4" s="4">
        <v>0.08333333333333333</v>
      </c>
      <c r="P4" s="4">
        <v>0.0763888888888889</v>
      </c>
      <c r="Q4" s="4">
        <v>0.06944444444444445</v>
      </c>
      <c r="R4" s="4">
        <v>0.0625</v>
      </c>
      <c r="S4" s="4">
        <v>0.05555555555555555</v>
      </c>
      <c r="T4" s="4">
        <v>0.04861111111111111</v>
      </c>
      <c r="U4" s="4">
        <v>0.04166666666666666</v>
      </c>
      <c r="V4" s="4">
        <v>0.03472222222222222</v>
      </c>
      <c r="W4" s="4">
        <v>0.02777777777777778</v>
      </c>
      <c r="X4" s="4">
        <v>0.02083333333333333</v>
      </c>
      <c r="Y4" s="4">
        <v>0.01388888888888889</v>
      </c>
      <c r="Z4" s="4">
        <v>0.006944444444444444</v>
      </c>
    </row>
    <row r="5" spans="1:29">
      <c r="A5">
        <v>2015</v>
      </c>
      <c r="B5" s="7">
        <v>367378</v>
      </c>
      <c r="C5" s="4">
        <f>VLOOKUP(IF($B$1, DATE($A5 + INT((1-1)/12), MOD(1-1,12)+1, 15), EDATE(DATE($A5 + INT((1-1)/12), MOD(1-1,12)+1, 15), -6)), 'Rate History'!$A$2:$C$10, 3, TRUE)</f>
        <v>0</v>
      </c>
      <c r="D5" s="4">
        <f>VLOOKUP(IF($B$1, DATE($A5 + INT((2-1)/12), MOD(2-1,12)+1, 15), EDATE(DATE($A5 + INT((2-1)/12), MOD(2-1,12)+1, 15), -6)), 'Rate History'!$A$2:$C$10, 3, TRUE)</f>
        <v>0</v>
      </c>
      <c r="E5" s="4">
        <f>VLOOKUP(IF($B$1, DATE($A5 + INT((3-1)/12), MOD(3-1,12)+1, 15), EDATE(DATE($A5 + INT((3-1)/12), MOD(3-1,12)+1, 15), -6)), 'Rate History'!$A$2:$C$10, 3, TRUE)</f>
        <v>0</v>
      </c>
      <c r="F5" s="4">
        <f>VLOOKUP(IF($B$1, DATE($A5 + INT((4-1)/12), MOD(4-1,12)+1, 15), EDATE(DATE($A5 + INT((4-1)/12), MOD(4-1,12)+1, 15), -6)), 'Rate History'!$A$2:$C$10, 3, TRUE)</f>
        <v>0</v>
      </c>
      <c r="G5" s="4">
        <f>VLOOKUP(IF($B$1, DATE($A5 + INT((5-1)/12), MOD(5-1,12)+1, 15), EDATE(DATE($A5 + INT((5-1)/12), MOD(5-1,12)+1, 15), -6)), 'Rate History'!$A$2:$C$10, 3, TRUE)</f>
        <v>0</v>
      </c>
      <c r="H5" s="4">
        <f>VLOOKUP(IF($B$1, DATE($A5 + INT((6-1)/12), MOD(6-1,12)+1, 15), EDATE(DATE($A5 + INT((6-1)/12), MOD(6-1,12)+1, 15), -6)), 'Rate History'!$A$2:$C$10, 3, TRUE)</f>
        <v>0</v>
      </c>
      <c r="I5" s="4">
        <f>VLOOKUP(IF($B$1, DATE($A5 + INT((7-1)/12), MOD(7-1,12)+1, 15), EDATE(DATE($A5 + INT((7-1)/12), MOD(7-1,12)+1, 15), -6)), 'Rate History'!$A$2:$C$10, 3, TRUE)</f>
        <v>0</v>
      </c>
      <c r="J5" s="4">
        <f>VLOOKUP(IF($B$1, DATE($A5 + INT((8-1)/12), MOD(8-1,12)+1, 15), EDATE(DATE($A5 + INT((8-1)/12), MOD(8-1,12)+1, 15), -6)), 'Rate History'!$A$2:$C$10, 3, TRUE)</f>
        <v>0</v>
      </c>
      <c r="K5" s="4">
        <f>VLOOKUP(IF($B$1, DATE($A5 + INT((9-1)/12), MOD(9-1,12)+1, 15), EDATE(DATE($A5 + INT((9-1)/12), MOD(9-1,12)+1, 15), -6)), 'Rate History'!$A$2:$C$10, 3, TRUE)</f>
        <v>0</v>
      </c>
      <c r="L5" s="4">
        <f>VLOOKUP(IF($B$1, DATE($A5 + INT((10-1)/12), MOD(10-1,12)+1, 15), EDATE(DATE($A5 + INT((10-1)/12), MOD(10-1,12)+1, 15), -6)), 'Rate History'!$A$2:$C$10, 3, TRUE)</f>
        <v>0</v>
      </c>
      <c r="M5" s="4">
        <f>VLOOKUP(IF($B$1, DATE($A5 + INT((11-1)/12), MOD(11-1,12)+1, 15), EDATE(DATE($A5 + INT((11-1)/12), MOD(11-1,12)+1, 15), -6)), 'Rate History'!$A$2:$C$10, 3, TRUE)</f>
        <v>0</v>
      </c>
      <c r="N5" s="4">
        <f>VLOOKUP(IF($B$1, DATE($A5 + INT((12-1)/12), MOD(12-1,12)+1, 15), EDATE(DATE($A5 + INT((12-1)/12), MOD(12-1,12)+1, 15), -6)), 'Rate History'!$A$2:$C$10, 3, TRUE)</f>
        <v>0</v>
      </c>
      <c r="O5" s="4">
        <f>VLOOKUP(IF($B$1, DATE($A5 + INT((13-1)/12), MOD(13-1,12)+1, 15), EDATE(DATE($A5 + INT((13-1)/12), MOD(13-1,12)+1, 15), -6)), 'Rate History'!$A$2:$C$10, 3, TRUE)</f>
        <v>0</v>
      </c>
      <c r="P5" s="4">
        <f>VLOOKUP(IF($B$1, DATE($A5 + INT((14-1)/12), MOD(14-1,12)+1, 15), EDATE(DATE($A5 + INT((14-1)/12), MOD(14-1,12)+1, 15), -6)), 'Rate History'!$A$2:$C$10, 3, TRUE)</f>
        <v>0</v>
      </c>
      <c r="Q5" s="4">
        <f>VLOOKUP(IF($B$1, DATE($A5 + INT((15-1)/12), MOD(15-1,12)+1, 15), EDATE(DATE($A5 + INT((15-1)/12), MOD(15-1,12)+1, 15), -6)), 'Rate History'!$A$2:$C$10, 3, TRUE)</f>
        <v>0</v>
      </c>
      <c r="R5" s="4">
        <f>VLOOKUP(IF($B$1, DATE($A5 + INT((16-1)/12), MOD(16-1,12)+1, 15), EDATE(DATE($A5 + INT((16-1)/12), MOD(16-1,12)+1, 15), -6)), 'Rate History'!$A$2:$C$10, 3, TRUE)</f>
        <v>0</v>
      </c>
      <c r="S5" s="4">
        <f>VLOOKUP(IF($B$1, DATE($A5 + INT((17-1)/12), MOD(17-1,12)+1, 15), EDATE(DATE($A5 + INT((17-1)/12), MOD(17-1,12)+1, 15), -6)), 'Rate History'!$A$2:$C$10, 3, TRUE)</f>
        <v>0</v>
      </c>
      <c r="T5" s="4">
        <f>VLOOKUP(IF($B$1, DATE($A5 + INT((18-1)/12), MOD(18-1,12)+1, 15), EDATE(DATE($A5 + INT((18-1)/12), MOD(18-1,12)+1, 15), -6)), 'Rate History'!$A$2:$C$10, 3, TRUE)</f>
        <v>0</v>
      </c>
      <c r="U5" s="4">
        <f>VLOOKUP(IF($B$1, DATE($A5 + INT((19-1)/12), MOD(19-1,12)+1, 15), EDATE(DATE($A5 + INT((19-1)/12), MOD(19-1,12)+1, 15), -6)), 'Rate History'!$A$2:$C$10, 3, TRUE)</f>
        <v>0</v>
      </c>
      <c r="V5" s="4">
        <f>VLOOKUP(IF($B$1, DATE($A5 + INT((20-1)/12), MOD(20-1,12)+1, 15), EDATE(DATE($A5 + INT((20-1)/12), MOD(20-1,12)+1, 15), -6)), 'Rate History'!$A$2:$C$10, 3, TRUE)</f>
        <v>0</v>
      </c>
      <c r="W5" s="4">
        <f>VLOOKUP(IF($B$1, DATE($A5 + INT((21-1)/12), MOD(21-1,12)+1, 15), EDATE(DATE($A5 + INT((21-1)/12), MOD(21-1,12)+1, 15), -6)), 'Rate History'!$A$2:$C$10, 3, TRUE)</f>
        <v>0</v>
      </c>
      <c r="X5" s="4">
        <f>VLOOKUP(IF($B$1, DATE($A5 + INT((22-1)/12), MOD(22-1,12)+1, 15), EDATE(DATE($A5 + INT((22-1)/12), MOD(22-1,12)+1, 15), -6)), 'Rate History'!$A$2:$C$10, 3, TRUE)</f>
        <v>0</v>
      </c>
      <c r="Y5" s="4">
        <f>VLOOKUP(IF($B$1, DATE($A5 + INT((23-1)/12), MOD(23-1,12)+1, 15), EDATE(DATE($A5 + INT((23-1)/12), MOD(23-1,12)+1, 15), -6)), 'Rate History'!$A$2:$C$10, 3, TRUE)</f>
        <v>0</v>
      </c>
      <c r="Z5" s="4">
        <f>VLOOKUP(IF($B$1, DATE($A5 + INT((24-1)/12), MOD(24-1,12)+1, 15), EDATE(DATE($A5 + INT((24-1)/12), MOD(24-1,12)+1, 15), -6)), 'Rate History'!$A$2:$C$10, 3, TRUE)</f>
        <v>0</v>
      </c>
      <c r="AA5" s="4">
        <f>SUMPRODUCT(C$4:Z$4, C5:Z5)</f>
        <v>0</v>
      </c>
      <c r="AB5" s="6">
        <f>'Rate History'!$C$13 / AA5</f>
        <v>0</v>
      </c>
      <c r="AC5" s="8">
        <f>$B5 * AB5</f>
        <v>0</v>
      </c>
    </row>
    <row r="6" spans="1:29">
      <c r="A6">
        <v>2016</v>
      </c>
      <c r="B6" s="7">
        <v>104582</v>
      </c>
      <c r="C6" s="4">
        <f>VLOOKUP(IF($B$1, DATE($A6 + INT((1-1)/12), MOD(1-1,12)+1, 15), EDATE(DATE($A6 + INT((1-1)/12), MOD(1-1,12)+1, 15), -6)), 'Rate History'!$A$2:$C$10, 3, TRUE)</f>
        <v>0</v>
      </c>
      <c r="D6" s="4">
        <f>VLOOKUP(IF($B$1, DATE($A6 + INT((2-1)/12), MOD(2-1,12)+1, 15), EDATE(DATE($A6 + INT((2-1)/12), MOD(2-1,12)+1, 15), -6)), 'Rate History'!$A$2:$C$10, 3, TRUE)</f>
        <v>0</v>
      </c>
      <c r="E6" s="4">
        <f>VLOOKUP(IF($B$1, DATE($A6 + INT((3-1)/12), MOD(3-1,12)+1, 15), EDATE(DATE($A6 + INT((3-1)/12), MOD(3-1,12)+1, 15), -6)), 'Rate History'!$A$2:$C$10, 3, TRUE)</f>
        <v>0</v>
      </c>
      <c r="F6" s="4">
        <f>VLOOKUP(IF($B$1, DATE($A6 + INT((4-1)/12), MOD(4-1,12)+1, 15), EDATE(DATE($A6 + INT((4-1)/12), MOD(4-1,12)+1, 15), -6)), 'Rate History'!$A$2:$C$10, 3, TRUE)</f>
        <v>0</v>
      </c>
      <c r="G6" s="4">
        <f>VLOOKUP(IF($B$1, DATE($A6 + INT((5-1)/12), MOD(5-1,12)+1, 15), EDATE(DATE($A6 + INT((5-1)/12), MOD(5-1,12)+1, 15), -6)), 'Rate History'!$A$2:$C$10, 3, TRUE)</f>
        <v>0</v>
      </c>
      <c r="H6" s="4">
        <f>VLOOKUP(IF($B$1, DATE($A6 + INT((6-1)/12), MOD(6-1,12)+1, 15), EDATE(DATE($A6 + INT((6-1)/12), MOD(6-1,12)+1, 15), -6)), 'Rate History'!$A$2:$C$10, 3, TRUE)</f>
        <v>0</v>
      </c>
      <c r="I6" s="4">
        <f>VLOOKUP(IF($B$1, DATE($A6 + INT((7-1)/12), MOD(7-1,12)+1, 15), EDATE(DATE($A6 + INT((7-1)/12), MOD(7-1,12)+1, 15), -6)), 'Rate History'!$A$2:$C$10, 3, TRUE)</f>
        <v>0</v>
      </c>
      <c r="J6" s="4">
        <f>VLOOKUP(IF($B$1, DATE($A6 + INT((8-1)/12), MOD(8-1,12)+1, 15), EDATE(DATE($A6 + INT((8-1)/12), MOD(8-1,12)+1, 15), -6)), 'Rate History'!$A$2:$C$10, 3, TRUE)</f>
        <v>0</v>
      </c>
      <c r="K6" s="4">
        <f>VLOOKUP(IF($B$1, DATE($A6 + INT((9-1)/12), MOD(9-1,12)+1, 15), EDATE(DATE($A6 + INT((9-1)/12), MOD(9-1,12)+1, 15), -6)), 'Rate History'!$A$2:$C$10, 3, TRUE)</f>
        <v>0</v>
      </c>
      <c r="L6" s="4">
        <f>VLOOKUP(IF($B$1, DATE($A6 + INT((10-1)/12), MOD(10-1,12)+1, 15), EDATE(DATE($A6 + INT((10-1)/12), MOD(10-1,12)+1, 15), -6)), 'Rate History'!$A$2:$C$10, 3, TRUE)</f>
        <v>0</v>
      </c>
      <c r="M6" s="4">
        <f>VLOOKUP(IF($B$1, DATE($A6 + INT((11-1)/12), MOD(11-1,12)+1, 15), EDATE(DATE($A6 + INT((11-1)/12), MOD(11-1,12)+1, 15), -6)), 'Rate History'!$A$2:$C$10, 3, TRUE)</f>
        <v>0</v>
      </c>
      <c r="N6" s="4">
        <f>VLOOKUP(IF($B$1, DATE($A6 + INT((12-1)/12), MOD(12-1,12)+1, 15), EDATE(DATE($A6 + INT((12-1)/12), MOD(12-1,12)+1, 15), -6)), 'Rate History'!$A$2:$C$10, 3, TRUE)</f>
        <v>0</v>
      </c>
      <c r="O6" s="4">
        <f>VLOOKUP(IF($B$1, DATE($A6 + INT((13-1)/12), MOD(13-1,12)+1, 15), EDATE(DATE($A6 + INT((13-1)/12), MOD(13-1,12)+1, 15), -6)), 'Rate History'!$A$2:$C$10, 3, TRUE)</f>
        <v>0</v>
      </c>
      <c r="P6" s="4">
        <f>VLOOKUP(IF($B$1, DATE($A6 + INT((14-1)/12), MOD(14-1,12)+1, 15), EDATE(DATE($A6 + INT((14-1)/12), MOD(14-1,12)+1, 15), -6)), 'Rate History'!$A$2:$C$10, 3, TRUE)</f>
        <v>0</v>
      </c>
      <c r="Q6" s="4">
        <f>VLOOKUP(IF($B$1, DATE($A6 + INT((15-1)/12), MOD(15-1,12)+1, 15), EDATE(DATE($A6 + INT((15-1)/12), MOD(15-1,12)+1, 15), -6)), 'Rate History'!$A$2:$C$10, 3, TRUE)</f>
        <v>0</v>
      </c>
      <c r="R6" s="4">
        <f>VLOOKUP(IF($B$1, DATE($A6 + INT((16-1)/12), MOD(16-1,12)+1, 15), EDATE(DATE($A6 + INT((16-1)/12), MOD(16-1,12)+1, 15), -6)), 'Rate History'!$A$2:$C$10, 3, TRUE)</f>
        <v>0</v>
      </c>
      <c r="S6" s="4">
        <f>VLOOKUP(IF($B$1, DATE($A6 + INT((17-1)/12), MOD(17-1,12)+1, 15), EDATE(DATE($A6 + INT((17-1)/12), MOD(17-1,12)+1, 15), -6)), 'Rate History'!$A$2:$C$10, 3, TRUE)</f>
        <v>0</v>
      </c>
      <c r="T6" s="4">
        <f>VLOOKUP(IF($B$1, DATE($A6 + INT((18-1)/12), MOD(18-1,12)+1, 15), EDATE(DATE($A6 + INT((18-1)/12), MOD(18-1,12)+1, 15), -6)), 'Rate History'!$A$2:$C$10, 3, TRUE)</f>
        <v>0</v>
      </c>
      <c r="U6" s="4">
        <f>VLOOKUP(IF($B$1, DATE($A6 + INT((19-1)/12), MOD(19-1,12)+1, 15), EDATE(DATE($A6 + INT((19-1)/12), MOD(19-1,12)+1, 15), -6)), 'Rate History'!$A$2:$C$10, 3, TRUE)</f>
        <v>0</v>
      </c>
      <c r="V6" s="4">
        <f>VLOOKUP(IF($B$1, DATE($A6 + INT((20-1)/12), MOD(20-1,12)+1, 15), EDATE(DATE($A6 + INT((20-1)/12), MOD(20-1,12)+1, 15), -6)), 'Rate History'!$A$2:$C$10, 3, TRUE)</f>
        <v>0</v>
      </c>
      <c r="W6" s="4">
        <f>VLOOKUP(IF($B$1, DATE($A6 + INT((21-1)/12), MOD(21-1,12)+1, 15), EDATE(DATE($A6 + INT((21-1)/12), MOD(21-1,12)+1, 15), -6)), 'Rate History'!$A$2:$C$10, 3, TRUE)</f>
        <v>0</v>
      </c>
      <c r="X6" s="4">
        <f>VLOOKUP(IF($B$1, DATE($A6 + INT((22-1)/12), MOD(22-1,12)+1, 15), EDATE(DATE($A6 + INT((22-1)/12), MOD(22-1,12)+1, 15), -6)), 'Rate History'!$A$2:$C$10, 3, TRUE)</f>
        <v>0</v>
      </c>
      <c r="Y6" s="4">
        <f>VLOOKUP(IF($B$1, DATE($A6 + INT((23-1)/12), MOD(23-1,12)+1, 15), EDATE(DATE($A6 + INT((23-1)/12), MOD(23-1,12)+1, 15), -6)), 'Rate History'!$A$2:$C$10, 3, TRUE)</f>
        <v>0</v>
      </c>
      <c r="Z6" s="4">
        <f>VLOOKUP(IF($B$1, DATE($A6 + INT((24-1)/12), MOD(24-1,12)+1, 15), EDATE(DATE($A6 + INT((24-1)/12), MOD(24-1,12)+1, 15), -6)), 'Rate History'!$A$2:$C$10, 3, TRUE)</f>
        <v>0</v>
      </c>
      <c r="AA6" s="4">
        <f>SUMPRODUCT(C$4:Z$4, C6:Z6)</f>
        <v>0</v>
      </c>
      <c r="AB6" s="6">
        <f>'Rate History'!$C$13 / AA6</f>
        <v>0</v>
      </c>
      <c r="AC6" s="8">
        <f>$B6 * AB6</f>
        <v>0</v>
      </c>
    </row>
    <row r="7" spans="1:29">
      <c r="A7">
        <v>2017</v>
      </c>
      <c r="B7" s="7">
        <v>497650</v>
      </c>
      <c r="C7" s="4">
        <f>VLOOKUP(IF($B$1, DATE($A7 + INT((1-1)/12), MOD(1-1,12)+1, 15), EDATE(DATE($A7 + INT((1-1)/12), MOD(1-1,12)+1, 15), -6)), 'Rate History'!$A$2:$C$10, 3, TRUE)</f>
        <v>0</v>
      </c>
      <c r="D7" s="4">
        <f>VLOOKUP(IF($B$1, DATE($A7 + INT((2-1)/12), MOD(2-1,12)+1, 15), EDATE(DATE($A7 + INT((2-1)/12), MOD(2-1,12)+1, 15), -6)), 'Rate History'!$A$2:$C$10, 3, TRUE)</f>
        <v>0</v>
      </c>
      <c r="E7" s="4">
        <f>VLOOKUP(IF($B$1, DATE($A7 + INT((3-1)/12), MOD(3-1,12)+1, 15), EDATE(DATE($A7 + INT((3-1)/12), MOD(3-1,12)+1, 15), -6)), 'Rate History'!$A$2:$C$10, 3, TRUE)</f>
        <v>0</v>
      </c>
      <c r="F7" s="4">
        <f>VLOOKUP(IF($B$1, DATE($A7 + INT((4-1)/12), MOD(4-1,12)+1, 15), EDATE(DATE($A7 + INT((4-1)/12), MOD(4-1,12)+1, 15), -6)), 'Rate History'!$A$2:$C$10, 3, TRUE)</f>
        <v>0</v>
      </c>
      <c r="G7" s="4">
        <f>VLOOKUP(IF($B$1, DATE($A7 + INT((5-1)/12), MOD(5-1,12)+1, 15), EDATE(DATE($A7 + INT((5-1)/12), MOD(5-1,12)+1, 15), -6)), 'Rate History'!$A$2:$C$10, 3, TRUE)</f>
        <v>0</v>
      </c>
      <c r="H7" s="4">
        <f>VLOOKUP(IF($B$1, DATE($A7 + INT((6-1)/12), MOD(6-1,12)+1, 15), EDATE(DATE($A7 + INT((6-1)/12), MOD(6-1,12)+1, 15), -6)), 'Rate History'!$A$2:$C$10, 3, TRUE)</f>
        <v>0</v>
      </c>
      <c r="I7" s="4">
        <f>VLOOKUP(IF($B$1, DATE($A7 + INT((7-1)/12), MOD(7-1,12)+1, 15), EDATE(DATE($A7 + INT((7-1)/12), MOD(7-1,12)+1, 15), -6)), 'Rate History'!$A$2:$C$10, 3, TRUE)</f>
        <v>0</v>
      </c>
      <c r="J7" s="4">
        <f>VLOOKUP(IF($B$1, DATE($A7 + INT((8-1)/12), MOD(8-1,12)+1, 15), EDATE(DATE($A7 + INT((8-1)/12), MOD(8-1,12)+1, 15), -6)), 'Rate History'!$A$2:$C$10, 3, TRUE)</f>
        <v>0</v>
      </c>
      <c r="K7" s="4">
        <f>VLOOKUP(IF($B$1, DATE($A7 + INT((9-1)/12), MOD(9-1,12)+1, 15), EDATE(DATE($A7 + INT((9-1)/12), MOD(9-1,12)+1, 15), -6)), 'Rate History'!$A$2:$C$10, 3, TRUE)</f>
        <v>0</v>
      </c>
      <c r="L7" s="4">
        <f>VLOOKUP(IF($B$1, DATE($A7 + INT((10-1)/12), MOD(10-1,12)+1, 15), EDATE(DATE($A7 + INT((10-1)/12), MOD(10-1,12)+1, 15), -6)), 'Rate History'!$A$2:$C$10, 3, TRUE)</f>
        <v>0</v>
      </c>
      <c r="M7" s="4">
        <f>VLOOKUP(IF($B$1, DATE($A7 + INT((11-1)/12), MOD(11-1,12)+1, 15), EDATE(DATE($A7 + INT((11-1)/12), MOD(11-1,12)+1, 15), -6)), 'Rate History'!$A$2:$C$10, 3, TRUE)</f>
        <v>0</v>
      </c>
      <c r="N7" s="4">
        <f>VLOOKUP(IF($B$1, DATE($A7 + INT((12-1)/12), MOD(12-1,12)+1, 15), EDATE(DATE($A7 + INT((12-1)/12), MOD(12-1,12)+1, 15), -6)), 'Rate History'!$A$2:$C$10, 3, TRUE)</f>
        <v>0</v>
      </c>
      <c r="O7" s="4">
        <f>VLOOKUP(IF($B$1, DATE($A7 + INT((13-1)/12), MOD(13-1,12)+1, 15), EDATE(DATE($A7 + INT((13-1)/12), MOD(13-1,12)+1, 15), -6)), 'Rate History'!$A$2:$C$10, 3, TRUE)</f>
        <v>0</v>
      </c>
      <c r="P7" s="4">
        <f>VLOOKUP(IF($B$1, DATE($A7 + INT((14-1)/12), MOD(14-1,12)+1, 15), EDATE(DATE($A7 + INT((14-1)/12), MOD(14-1,12)+1, 15), -6)), 'Rate History'!$A$2:$C$10, 3, TRUE)</f>
        <v>0</v>
      </c>
      <c r="Q7" s="4">
        <f>VLOOKUP(IF($B$1, DATE($A7 + INT((15-1)/12), MOD(15-1,12)+1, 15), EDATE(DATE($A7 + INT((15-1)/12), MOD(15-1,12)+1, 15), -6)), 'Rate History'!$A$2:$C$10, 3, TRUE)</f>
        <v>0</v>
      </c>
      <c r="R7" s="4">
        <f>VLOOKUP(IF($B$1, DATE($A7 + INT((16-1)/12), MOD(16-1,12)+1, 15), EDATE(DATE($A7 + INT((16-1)/12), MOD(16-1,12)+1, 15), -6)), 'Rate History'!$A$2:$C$10, 3, TRUE)</f>
        <v>0</v>
      </c>
      <c r="S7" s="4">
        <f>VLOOKUP(IF($B$1, DATE($A7 + INT((17-1)/12), MOD(17-1,12)+1, 15), EDATE(DATE($A7 + INT((17-1)/12), MOD(17-1,12)+1, 15), -6)), 'Rate History'!$A$2:$C$10, 3, TRUE)</f>
        <v>0</v>
      </c>
      <c r="T7" s="4">
        <f>VLOOKUP(IF($B$1, DATE($A7 + INT((18-1)/12), MOD(18-1,12)+1, 15), EDATE(DATE($A7 + INT((18-1)/12), MOD(18-1,12)+1, 15), -6)), 'Rate History'!$A$2:$C$10, 3, TRUE)</f>
        <v>0</v>
      </c>
      <c r="U7" s="4">
        <f>VLOOKUP(IF($B$1, DATE($A7 + INT((19-1)/12), MOD(19-1,12)+1, 15), EDATE(DATE($A7 + INT((19-1)/12), MOD(19-1,12)+1, 15), -6)), 'Rate History'!$A$2:$C$10, 3, TRUE)</f>
        <v>0</v>
      </c>
      <c r="V7" s="4">
        <f>VLOOKUP(IF($B$1, DATE($A7 + INT((20-1)/12), MOD(20-1,12)+1, 15), EDATE(DATE($A7 + INT((20-1)/12), MOD(20-1,12)+1, 15), -6)), 'Rate History'!$A$2:$C$10, 3, TRUE)</f>
        <v>0</v>
      </c>
      <c r="W7" s="4">
        <f>VLOOKUP(IF($B$1, DATE($A7 + INT((21-1)/12), MOD(21-1,12)+1, 15), EDATE(DATE($A7 + INT((21-1)/12), MOD(21-1,12)+1, 15), -6)), 'Rate History'!$A$2:$C$10, 3, TRUE)</f>
        <v>0</v>
      </c>
      <c r="X7" s="4">
        <f>VLOOKUP(IF($B$1, DATE($A7 + INT((22-1)/12), MOD(22-1,12)+1, 15), EDATE(DATE($A7 + INT((22-1)/12), MOD(22-1,12)+1, 15), -6)), 'Rate History'!$A$2:$C$10, 3, TRUE)</f>
        <v>0</v>
      </c>
      <c r="Y7" s="4">
        <f>VLOOKUP(IF($B$1, DATE($A7 + INT((23-1)/12), MOD(23-1,12)+1, 15), EDATE(DATE($A7 + INT((23-1)/12), MOD(23-1,12)+1, 15), -6)), 'Rate History'!$A$2:$C$10, 3, TRUE)</f>
        <v>0</v>
      </c>
      <c r="Z7" s="4">
        <f>VLOOKUP(IF($B$1, DATE($A7 + INT((24-1)/12), MOD(24-1,12)+1, 15), EDATE(DATE($A7 + INT((24-1)/12), MOD(24-1,12)+1, 15), -6)), 'Rate History'!$A$2:$C$10, 3, TRUE)</f>
        <v>0</v>
      </c>
      <c r="AA7" s="4">
        <f>SUMPRODUCT(C$4:Z$4, C7:Z7)</f>
        <v>0</v>
      </c>
      <c r="AB7" s="6">
        <f>'Rate History'!$C$13 / AA7</f>
        <v>0</v>
      </c>
      <c r="AC7" s="8">
        <f>$B7 * AB7</f>
        <v>0</v>
      </c>
    </row>
    <row r="8" spans="1:29">
      <c r="A8">
        <v>2018</v>
      </c>
      <c r="B8" s="7">
        <v>321482</v>
      </c>
      <c r="C8" s="4">
        <f>VLOOKUP(IF($B$1, DATE($A8 + INT((1-1)/12), MOD(1-1,12)+1, 15), EDATE(DATE($A8 + INT((1-1)/12), MOD(1-1,12)+1, 15), -6)), 'Rate History'!$A$2:$C$10, 3, TRUE)</f>
        <v>0</v>
      </c>
      <c r="D8" s="4">
        <f>VLOOKUP(IF($B$1, DATE($A8 + INT((2-1)/12), MOD(2-1,12)+1, 15), EDATE(DATE($A8 + INT((2-1)/12), MOD(2-1,12)+1, 15), -6)), 'Rate History'!$A$2:$C$10, 3, TRUE)</f>
        <v>0</v>
      </c>
      <c r="E8" s="4">
        <f>VLOOKUP(IF($B$1, DATE($A8 + INT((3-1)/12), MOD(3-1,12)+1, 15), EDATE(DATE($A8 + INT((3-1)/12), MOD(3-1,12)+1, 15), -6)), 'Rate History'!$A$2:$C$10, 3, TRUE)</f>
        <v>0</v>
      </c>
      <c r="F8" s="4">
        <f>VLOOKUP(IF($B$1, DATE($A8 + INT((4-1)/12), MOD(4-1,12)+1, 15), EDATE(DATE($A8 + INT((4-1)/12), MOD(4-1,12)+1, 15), -6)), 'Rate History'!$A$2:$C$10, 3, TRUE)</f>
        <v>0</v>
      </c>
      <c r="G8" s="4">
        <f>VLOOKUP(IF($B$1, DATE($A8 + INT((5-1)/12), MOD(5-1,12)+1, 15), EDATE(DATE($A8 + INT((5-1)/12), MOD(5-1,12)+1, 15), -6)), 'Rate History'!$A$2:$C$10, 3, TRUE)</f>
        <v>0</v>
      </c>
      <c r="H8" s="4">
        <f>VLOOKUP(IF($B$1, DATE($A8 + INT((6-1)/12), MOD(6-1,12)+1, 15), EDATE(DATE($A8 + INT((6-1)/12), MOD(6-1,12)+1, 15), -6)), 'Rate History'!$A$2:$C$10, 3, TRUE)</f>
        <v>0</v>
      </c>
      <c r="I8" s="4">
        <f>VLOOKUP(IF($B$1, DATE($A8 + INT((7-1)/12), MOD(7-1,12)+1, 15), EDATE(DATE($A8 + INT((7-1)/12), MOD(7-1,12)+1, 15), -6)), 'Rate History'!$A$2:$C$10, 3, TRUE)</f>
        <v>0</v>
      </c>
      <c r="J8" s="4">
        <f>VLOOKUP(IF($B$1, DATE($A8 + INT((8-1)/12), MOD(8-1,12)+1, 15), EDATE(DATE($A8 + INT((8-1)/12), MOD(8-1,12)+1, 15), -6)), 'Rate History'!$A$2:$C$10, 3, TRUE)</f>
        <v>0</v>
      </c>
      <c r="K8" s="4">
        <f>VLOOKUP(IF($B$1, DATE($A8 + INT((9-1)/12), MOD(9-1,12)+1, 15), EDATE(DATE($A8 + INT((9-1)/12), MOD(9-1,12)+1, 15), -6)), 'Rate History'!$A$2:$C$10, 3, TRUE)</f>
        <v>0</v>
      </c>
      <c r="L8" s="4">
        <f>VLOOKUP(IF($B$1, DATE($A8 + INT((10-1)/12), MOD(10-1,12)+1, 15), EDATE(DATE($A8 + INT((10-1)/12), MOD(10-1,12)+1, 15), -6)), 'Rate History'!$A$2:$C$10, 3, TRUE)</f>
        <v>0</v>
      </c>
      <c r="M8" s="4">
        <f>VLOOKUP(IF($B$1, DATE($A8 + INT((11-1)/12), MOD(11-1,12)+1, 15), EDATE(DATE($A8 + INT((11-1)/12), MOD(11-1,12)+1, 15), -6)), 'Rate History'!$A$2:$C$10, 3, TRUE)</f>
        <v>0</v>
      </c>
      <c r="N8" s="4">
        <f>VLOOKUP(IF($B$1, DATE($A8 + INT((12-1)/12), MOD(12-1,12)+1, 15), EDATE(DATE($A8 + INT((12-1)/12), MOD(12-1,12)+1, 15), -6)), 'Rate History'!$A$2:$C$10, 3, TRUE)</f>
        <v>0</v>
      </c>
      <c r="O8" s="4">
        <f>VLOOKUP(IF($B$1, DATE($A8 + INT((13-1)/12), MOD(13-1,12)+1, 15), EDATE(DATE($A8 + INT((13-1)/12), MOD(13-1,12)+1, 15), -6)), 'Rate History'!$A$2:$C$10, 3, TRUE)</f>
        <v>0</v>
      </c>
      <c r="P8" s="4">
        <f>VLOOKUP(IF($B$1, DATE($A8 + INT((14-1)/12), MOD(14-1,12)+1, 15), EDATE(DATE($A8 + INT((14-1)/12), MOD(14-1,12)+1, 15), -6)), 'Rate History'!$A$2:$C$10, 3, TRUE)</f>
        <v>0</v>
      </c>
      <c r="Q8" s="4">
        <f>VLOOKUP(IF($B$1, DATE($A8 + INT((15-1)/12), MOD(15-1,12)+1, 15), EDATE(DATE($A8 + INT((15-1)/12), MOD(15-1,12)+1, 15), -6)), 'Rate History'!$A$2:$C$10, 3, TRUE)</f>
        <v>0</v>
      </c>
      <c r="R8" s="4">
        <f>VLOOKUP(IF($B$1, DATE($A8 + INT((16-1)/12), MOD(16-1,12)+1, 15), EDATE(DATE($A8 + INT((16-1)/12), MOD(16-1,12)+1, 15), -6)), 'Rate History'!$A$2:$C$10, 3, TRUE)</f>
        <v>0</v>
      </c>
      <c r="S8" s="4">
        <f>VLOOKUP(IF($B$1, DATE($A8 + INT((17-1)/12), MOD(17-1,12)+1, 15), EDATE(DATE($A8 + INT((17-1)/12), MOD(17-1,12)+1, 15), -6)), 'Rate History'!$A$2:$C$10, 3, TRUE)</f>
        <v>0</v>
      </c>
      <c r="T8" s="4">
        <f>VLOOKUP(IF($B$1, DATE($A8 + INT((18-1)/12), MOD(18-1,12)+1, 15), EDATE(DATE($A8 + INT((18-1)/12), MOD(18-1,12)+1, 15), -6)), 'Rate History'!$A$2:$C$10, 3, TRUE)</f>
        <v>0</v>
      </c>
      <c r="U8" s="4">
        <f>VLOOKUP(IF($B$1, DATE($A8 + INT((19-1)/12), MOD(19-1,12)+1, 15), EDATE(DATE($A8 + INT((19-1)/12), MOD(19-1,12)+1, 15), -6)), 'Rate History'!$A$2:$C$10, 3, TRUE)</f>
        <v>0</v>
      </c>
      <c r="V8" s="4">
        <f>VLOOKUP(IF($B$1, DATE($A8 + INT((20-1)/12), MOD(20-1,12)+1, 15), EDATE(DATE($A8 + INT((20-1)/12), MOD(20-1,12)+1, 15), -6)), 'Rate History'!$A$2:$C$10, 3, TRUE)</f>
        <v>0</v>
      </c>
      <c r="W8" s="4">
        <f>VLOOKUP(IF($B$1, DATE($A8 + INT((21-1)/12), MOD(21-1,12)+1, 15), EDATE(DATE($A8 + INT((21-1)/12), MOD(21-1,12)+1, 15), -6)), 'Rate History'!$A$2:$C$10, 3, TRUE)</f>
        <v>0</v>
      </c>
      <c r="X8" s="4">
        <f>VLOOKUP(IF($B$1, DATE($A8 + INT((22-1)/12), MOD(22-1,12)+1, 15), EDATE(DATE($A8 + INT((22-1)/12), MOD(22-1,12)+1, 15), -6)), 'Rate History'!$A$2:$C$10, 3, TRUE)</f>
        <v>0</v>
      </c>
      <c r="Y8" s="4">
        <f>VLOOKUP(IF($B$1, DATE($A8 + INT((23-1)/12), MOD(23-1,12)+1, 15), EDATE(DATE($A8 + INT((23-1)/12), MOD(23-1,12)+1, 15), -6)), 'Rate History'!$A$2:$C$10, 3, TRUE)</f>
        <v>0</v>
      </c>
      <c r="Z8" s="4">
        <f>VLOOKUP(IF($B$1, DATE($A8 + INT((24-1)/12), MOD(24-1,12)+1, 15), EDATE(DATE($A8 + INT((24-1)/12), MOD(24-1,12)+1, 15), -6)), 'Rate History'!$A$2:$C$10, 3, TRUE)</f>
        <v>0</v>
      </c>
      <c r="AA8" s="4">
        <f>SUMPRODUCT(C$4:Z$4, C8:Z8)</f>
        <v>0</v>
      </c>
      <c r="AB8" s="6">
        <f>'Rate History'!$C$13 / AA8</f>
        <v>0</v>
      </c>
      <c r="AC8" s="8">
        <f>$B8 * AB8</f>
        <v>0</v>
      </c>
    </row>
    <row r="9" spans="1:29">
      <c r="A9">
        <v>2019</v>
      </c>
      <c r="B9" s="7">
        <v>364931</v>
      </c>
      <c r="C9" s="4">
        <f>VLOOKUP(IF($B$1, DATE($A9 + INT((1-1)/12), MOD(1-1,12)+1, 15), EDATE(DATE($A9 + INT((1-1)/12), MOD(1-1,12)+1, 15), -6)), 'Rate History'!$A$2:$C$10, 3, TRUE)</f>
        <v>0</v>
      </c>
      <c r="D9" s="4">
        <f>VLOOKUP(IF($B$1, DATE($A9 + INT((2-1)/12), MOD(2-1,12)+1, 15), EDATE(DATE($A9 + INT((2-1)/12), MOD(2-1,12)+1, 15), -6)), 'Rate History'!$A$2:$C$10, 3, TRUE)</f>
        <v>0</v>
      </c>
      <c r="E9" s="4">
        <f>VLOOKUP(IF($B$1, DATE($A9 + INT((3-1)/12), MOD(3-1,12)+1, 15), EDATE(DATE($A9 + INT((3-1)/12), MOD(3-1,12)+1, 15), -6)), 'Rate History'!$A$2:$C$10, 3, TRUE)</f>
        <v>0</v>
      </c>
      <c r="F9" s="4">
        <f>VLOOKUP(IF($B$1, DATE($A9 + INT((4-1)/12), MOD(4-1,12)+1, 15), EDATE(DATE($A9 + INT((4-1)/12), MOD(4-1,12)+1, 15), -6)), 'Rate History'!$A$2:$C$10, 3, TRUE)</f>
        <v>0</v>
      </c>
      <c r="G9" s="4">
        <f>VLOOKUP(IF($B$1, DATE($A9 + INT((5-1)/12), MOD(5-1,12)+1, 15), EDATE(DATE($A9 + INT((5-1)/12), MOD(5-1,12)+1, 15), -6)), 'Rate History'!$A$2:$C$10, 3, TRUE)</f>
        <v>0</v>
      </c>
      <c r="H9" s="4">
        <f>VLOOKUP(IF($B$1, DATE($A9 + INT((6-1)/12), MOD(6-1,12)+1, 15), EDATE(DATE($A9 + INT((6-1)/12), MOD(6-1,12)+1, 15), -6)), 'Rate History'!$A$2:$C$10, 3, TRUE)</f>
        <v>0</v>
      </c>
      <c r="I9" s="4">
        <f>VLOOKUP(IF($B$1, DATE($A9 + INT((7-1)/12), MOD(7-1,12)+1, 15), EDATE(DATE($A9 + INT((7-1)/12), MOD(7-1,12)+1, 15), -6)), 'Rate History'!$A$2:$C$10, 3, TRUE)</f>
        <v>0</v>
      </c>
      <c r="J9" s="4">
        <f>VLOOKUP(IF($B$1, DATE($A9 + INT((8-1)/12), MOD(8-1,12)+1, 15), EDATE(DATE($A9 + INT((8-1)/12), MOD(8-1,12)+1, 15), -6)), 'Rate History'!$A$2:$C$10, 3, TRUE)</f>
        <v>0</v>
      </c>
      <c r="K9" s="4">
        <f>VLOOKUP(IF($B$1, DATE($A9 + INT((9-1)/12), MOD(9-1,12)+1, 15), EDATE(DATE($A9 + INT((9-1)/12), MOD(9-1,12)+1, 15), -6)), 'Rate History'!$A$2:$C$10, 3, TRUE)</f>
        <v>0</v>
      </c>
      <c r="L9" s="4">
        <f>VLOOKUP(IF($B$1, DATE($A9 + INT((10-1)/12), MOD(10-1,12)+1, 15), EDATE(DATE($A9 + INT((10-1)/12), MOD(10-1,12)+1, 15), -6)), 'Rate History'!$A$2:$C$10, 3, TRUE)</f>
        <v>0</v>
      </c>
      <c r="M9" s="4">
        <f>VLOOKUP(IF($B$1, DATE($A9 + INT((11-1)/12), MOD(11-1,12)+1, 15), EDATE(DATE($A9 + INT((11-1)/12), MOD(11-1,12)+1, 15), -6)), 'Rate History'!$A$2:$C$10, 3, TRUE)</f>
        <v>0</v>
      </c>
      <c r="N9" s="4">
        <f>VLOOKUP(IF($B$1, DATE($A9 + INT((12-1)/12), MOD(12-1,12)+1, 15), EDATE(DATE($A9 + INT((12-1)/12), MOD(12-1,12)+1, 15), -6)), 'Rate History'!$A$2:$C$10, 3, TRUE)</f>
        <v>0</v>
      </c>
      <c r="O9" s="4">
        <f>VLOOKUP(IF($B$1, DATE($A9 + INT((13-1)/12), MOD(13-1,12)+1, 15), EDATE(DATE($A9 + INT((13-1)/12), MOD(13-1,12)+1, 15), -6)), 'Rate History'!$A$2:$C$10, 3, TRUE)</f>
        <v>0</v>
      </c>
      <c r="P9" s="4">
        <f>VLOOKUP(IF($B$1, DATE($A9 + INT((14-1)/12), MOD(14-1,12)+1, 15), EDATE(DATE($A9 + INT((14-1)/12), MOD(14-1,12)+1, 15), -6)), 'Rate History'!$A$2:$C$10, 3, TRUE)</f>
        <v>0</v>
      </c>
      <c r="Q9" s="4">
        <f>VLOOKUP(IF($B$1, DATE($A9 + INT((15-1)/12), MOD(15-1,12)+1, 15), EDATE(DATE($A9 + INT((15-1)/12), MOD(15-1,12)+1, 15), -6)), 'Rate History'!$A$2:$C$10, 3, TRUE)</f>
        <v>0</v>
      </c>
      <c r="R9" s="4">
        <f>VLOOKUP(IF($B$1, DATE($A9 + INT((16-1)/12), MOD(16-1,12)+1, 15), EDATE(DATE($A9 + INT((16-1)/12), MOD(16-1,12)+1, 15), -6)), 'Rate History'!$A$2:$C$10, 3, TRUE)</f>
        <v>0</v>
      </c>
      <c r="S9" s="4">
        <f>VLOOKUP(IF($B$1, DATE($A9 + INT((17-1)/12), MOD(17-1,12)+1, 15), EDATE(DATE($A9 + INT((17-1)/12), MOD(17-1,12)+1, 15), -6)), 'Rate History'!$A$2:$C$10, 3, TRUE)</f>
        <v>0</v>
      </c>
      <c r="T9" s="4">
        <f>VLOOKUP(IF($B$1, DATE($A9 + INT((18-1)/12), MOD(18-1,12)+1, 15), EDATE(DATE($A9 + INT((18-1)/12), MOD(18-1,12)+1, 15), -6)), 'Rate History'!$A$2:$C$10, 3, TRUE)</f>
        <v>0</v>
      </c>
      <c r="U9" s="4">
        <f>VLOOKUP(IF($B$1, DATE($A9 + INT((19-1)/12), MOD(19-1,12)+1, 15), EDATE(DATE($A9 + INT((19-1)/12), MOD(19-1,12)+1, 15), -6)), 'Rate History'!$A$2:$C$10, 3, TRUE)</f>
        <v>0</v>
      </c>
      <c r="V9" s="4">
        <f>VLOOKUP(IF($B$1, DATE($A9 + INT((20-1)/12), MOD(20-1,12)+1, 15), EDATE(DATE($A9 + INT((20-1)/12), MOD(20-1,12)+1, 15), -6)), 'Rate History'!$A$2:$C$10, 3, TRUE)</f>
        <v>0</v>
      </c>
      <c r="W9" s="4">
        <f>VLOOKUP(IF($B$1, DATE($A9 + INT((21-1)/12), MOD(21-1,12)+1, 15), EDATE(DATE($A9 + INT((21-1)/12), MOD(21-1,12)+1, 15), -6)), 'Rate History'!$A$2:$C$10, 3, TRUE)</f>
        <v>0</v>
      </c>
      <c r="X9" s="4">
        <f>VLOOKUP(IF($B$1, DATE($A9 + INT((22-1)/12), MOD(22-1,12)+1, 15), EDATE(DATE($A9 + INT((22-1)/12), MOD(22-1,12)+1, 15), -6)), 'Rate History'!$A$2:$C$10, 3, TRUE)</f>
        <v>0</v>
      </c>
      <c r="Y9" s="4">
        <f>VLOOKUP(IF($B$1, DATE($A9 + INT((23-1)/12), MOD(23-1,12)+1, 15), EDATE(DATE($A9 + INT((23-1)/12), MOD(23-1,12)+1, 15), -6)), 'Rate History'!$A$2:$C$10, 3, TRUE)</f>
        <v>0</v>
      </c>
      <c r="Z9" s="4">
        <f>VLOOKUP(IF($B$1, DATE($A9 + INT((24-1)/12), MOD(24-1,12)+1, 15), EDATE(DATE($A9 + INT((24-1)/12), MOD(24-1,12)+1, 15), -6)), 'Rate History'!$A$2:$C$10, 3, TRUE)</f>
        <v>0</v>
      </c>
      <c r="AA9" s="4">
        <f>SUMPRODUCT(C$4:Z$4, C9:Z9)</f>
        <v>0</v>
      </c>
      <c r="AB9" s="6">
        <f>'Rate History'!$C$13 / AA9</f>
        <v>0</v>
      </c>
      <c r="AC9" s="8">
        <f>$B9 * AB9</f>
        <v>0</v>
      </c>
    </row>
    <row r="10" spans="1:29">
      <c r="A10">
        <v>2020</v>
      </c>
      <c r="B10" s="7">
        <v>314643</v>
      </c>
      <c r="C10" s="4">
        <f>VLOOKUP(IF($B$1, DATE($A10 + INT((1-1)/12), MOD(1-1,12)+1, 15), EDATE(DATE($A10 + INT((1-1)/12), MOD(1-1,12)+1, 15), -6)), 'Rate History'!$A$2:$C$10, 3, TRUE)</f>
        <v>0</v>
      </c>
      <c r="D10" s="4">
        <f>VLOOKUP(IF($B$1, DATE($A10 + INT((2-1)/12), MOD(2-1,12)+1, 15), EDATE(DATE($A10 + INT((2-1)/12), MOD(2-1,12)+1, 15), -6)), 'Rate History'!$A$2:$C$10, 3, TRUE)</f>
        <v>0</v>
      </c>
      <c r="E10" s="4">
        <f>VLOOKUP(IF($B$1, DATE($A10 + INT((3-1)/12), MOD(3-1,12)+1, 15), EDATE(DATE($A10 + INT((3-1)/12), MOD(3-1,12)+1, 15), -6)), 'Rate History'!$A$2:$C$10, 3, TRUE)</f>
        <v>0</v>
      </c>
      <c r="F10" s="4">
        <f>VLOOKUP(IF($B$1, DATE($A10 + INT((4-1)/12), MOD(4-1,12)+1, 15), EDATE(DATE($A10 + INT((4-1)/12), MOD(4-1,12)+1, 15), -6)), 'Rate History'!$A$2:$C$10, 3, TRUE)</f>
        <v>0</v>
      </c>
      <c r="G10" s="4">
        <f>VLOOKUP(IF($B$1, DATE($A10 + INT((5-1)/12), MOD(5-1,12)+1, 15), EDATE(DATE($A10 + INT((5-1)/12), MOD(5-1,12)+1, 15), -6)), 'Rate History'!$A$2:$C$10, 3, TRUE)</f>
        <v>0</v>
      </c>
      <c r="H10" s="4">
        <f>VLOOKUP(IF($B$1, DATE($A10 + INT((6-1)/12), MOD(6-1,12)+1, 15), EDATE(DATE($A10 + INT((6-1)/12), MOD(6-1,12)+1, 15), -6)), 'Rate History'!$A$2:$C$10, 3, TRUE)</f>
        <v>0</v>
      </c>
      <c r="I10" s="4">
        <f>VLOOKUP(IF($B$1, DATE($A10 + INT((7-1)/12), MOD(7-1,12)+1, 15), EDATE(DATE($A10 + INT((7-1)/12), MOD(7-1,12)+1, 15), -6)), 'Rate History'!$A$2:$C$10, 3, TRUE)</f>
        <v>0</v>
      </c>
      <c r="J10" s="4">
        <f>VLOOKUP(IF($B$1, DATE($A10 + INT((8-1)/12), MOD(8-1,12)+1, 15), EDATE(DATE($A10 + INT((8-1)/12), MOD(8-1,12)+1, 15), -6)), 'Rate History'!$A$2:$C$10, 3, TRUE)</f>
        <v>0</v>
      </c>
      <c r="K10" s="4">
        <f>VLOOKUP(IF($B$1, DATE($A10 + INT((9-1)/12), MOD(9-1,12)+1, 15), EDATE(DATE($A10 + INT((9-1)/12), MOD(9-1,12)+1, 15), -6)), 'Rate History'!$A$2:$C$10, 3, TRUE)</f>
        <v>0</v>
      </c>
      <c r="L10" s="4">
        <f>VLOOKUP(IF($B$1, DATE($A10 + INT((10-1)/12), MOD(10-1,12)+1, 15), EDATE(DATE($A10 + INT((10-1)/12), MOD(10-1,12)+1, 15), -6)), 'Rate History'!$A$2:$C$10, 3, TRUE)</f>
        <v>0</v>
      </c>
      <c r="M10" s="4">
        <f>VLOOKUP(IF($B$1, DATE($A10 + INT((11-1)/12), MOD(11-1,12)+1, 15), EDATE(DATE($A10 + INT((11-1)/12), MOD(11-1,12)+1, 15), -6)), 'Rate History'!$A$2:$C$10, 3, TRUE)</f>
        <v>0</v>
      </c>
      <c r="N10" s="4">
        <f>VLOOKUP(IF($B$1, DATE($A10 + INT((12-1)/12), MOD(12-1,12)+1, 15), EDATE(DATE($A10 + INT((12-1)/12), MOD(12-1,12)+1, 15), -6)), 'Rate History'!$A$2:$C$10, 3, TRUE)</f>
        <v>0</v>
      </c>
      <c r="O10" s="4">
        <f>VLOOKUP(IF($B$1, DATE($A10 + INT((13-1)/12), MOD(13-1,12)+1, 15), EDATE(DATE($A10 + INT((13-1)/12), MOD(13-1,12)+1, 15), -6)), 'Rate History'!$A$2:$C$10, 3, TRUE)</f>
        <v>0</v>
      </c>
      <c r="P10" s="4">
        <f>VLOOKUP(IF($B$1, DATE($A10 + INT((14-1)/12), MOD(14-1,12)+1, 15), EDATE(DATE($A10 + INT((14-1)/12), MOD(14-1,12)+1, 15), -6)), 'Rate History'!$A$2:$C$10, 3, TRUE)</f>
        <v>0</v>
      </c>
      <c r="Q10" s="4">
        <f>VLOOKUP(IF($B$1, DATE($A10 + INT((15-1)/12), MOD(15-1,12)+1, 15), EDATE(DATE($A10 + INT((15-1)/12), MOD(15-1,12)+1, 15), -6)), 'Rate History'!$A$2:$C$10, 3, TRUE)</f>
        <v>0</v>
      </c>
      <c r="R10" s="4">
        <f>VLOOKUP(IF($B$1, DATE($A10 + INT((16-1)/12), MOD(16-1,12)+1, 15), EDATE(DATE($A10 + INT((16-1)/12), MOD(16-1,12)+1, 15), -6)), 'Rate History'!$A$2:$C$10, 3, TRUE)</f>
        <v>0</v>
      </c>
      <c r="S10" s="4">
        <f>VLOOKUP(IF($B$1, DATE($A10 + INT((17-1)/12), MOD(17-1,12)+1, 15), EDATE(DATE($A10 + INT((17-1)/12), MOD(17-1,12)+1, 15), -6)), 'Rate History'!$A$2:$C$10, 3, TRUE)</f>
        <v>0</v>
      </c>
      <c r="T10" s="4">
        <f>VLOOKUP(IF($B$1, DATE($A10 + INT((18-1)/12), MOD(18-1,12)+1, 15), EDATE(DATE($A10 + INT((18-1)/12), MOD(18-1,12)+1, 15), -6)), 'Rate History'!$A$2:$C$10, 3, TRUE)</f>
        <v>0</v>
      </c>
      <c r="U10" s="4">
        <f>VLOOKUP(IF($B$1, DATE($A10 + INT((19-1)/12), MOD(19-1,12)+1, 15), EDATE(DATE($A10 + INT((19-1)/12), MOD(19-1,12)+1, 15), -6)), 'Rate History'!$A$2:$C$10, 3, TRUE)</f>
        <v>0</v>
      </c>
      <c r="V10" s="4">
        <f>VLOOKUP(IF($B$1, DATE($A10 + INT((20-1)/12), MOD(20-1,12)+1, 15), EDATE(DATE($A10 + INT((20-1)/12), MOD(20-1,12)+1, 15), -6)), 'Rate History'!$A$2:$C$10, 3, TRUE)</f>
        <v>0</v>
      </c>
      <c r="W10" s="4">
        <f>VLOOKUP(IF($B$1, DATE($A10 + INT((21-1)/12), MOD(21-1,12)+1, 15), EDATE(DATE($A10 + INT((21-1)/12), MOD(21-1,12)+1, 15), -6)), 'Rate History'!$A$2:$C$10, 3, TRUE)</f>
        <v>0</v>
      </c>
      <c r="X10" s="4">
        <f>VLOOKUP(IF($B$1, DATE($A10 + INT((22-1)/12), MOD(22-1,12)+1, 15), EDATE(DATE($A10 + INT((22-1)/12), MOD(22-1,12)+1, 15), -6)), 'Rate History'!$A$2:$C$10, 3, TRUE)</f>
        <v>0</v>
      </c>
      <c r="Y10" s="4">
        <f>VLOOKUP(IF($B$1, DATE($A10 + INT((23-1)/12), MOD(23-1,12)+1, 15), EDATE(DATE($A10 + INT((23-1)/12), MOD(23-1,12)+1, 15), -6)), 'Rate History'!$A$2:$C$10, 3, TRUE)</f>
        <v>0</v>
      </c>
      <c r="Z10" s="4">
        <f>VLOOKUP(IF($B$1, DATE($A10 + INT((24-1)/12), MOD(24-1,12)+1, 15), EDATE(DATE($A10 + INT((24-1)/12), MOD(24-1,12)+1, 15), -6)), 'Rate History'!$A$2:$C$10, 3, TRUE)</f>
        <v>0</v>
      </c>
      <c r="AA10" s="4">
        <f>SUMPRODUCT(C$4:Z$4, C10:Z10)</f>
        <v>0</v>
      </c>
      <c r="AB10" s="6">
        <f>'Rate History'!$C$13 / AA10</f>
        <v>0</v>
      </c>
      <c r="AC10" s="8">
        <f>$B10 * AB10</f>
        <v>0</v>
      </c>
    </row>
    <row r="11" spans="1:29">
      <c r="A11">
        <v>2021</v>
      </c>
      <c r="B11" s="7">
        <v>484462</v>
      </c>
      <c r="C11" s="4">
        <f>VLOOKUP(IF($B$1, DATE($A11 + INT((1-1)/12), MOD(1-1,12)+1, 15), EDATE(DATE($A11 + INT((1-1)/12), MOD(1-1,12)+1, 15), -6)), 'Rate History'!$A$2:$C$10, 3, TRUE)</f>
        <v>0</v>
      </c>
      <c r="D11" s="4">
        <f>VLOOKUP(IF($B$1, DATE($A11 + INT((2-1)/12), MOD(2-1,12)+1, 15), EDATE(DATE($A11 + INT((2-1)/12), MOD(2-1,12)+1, 15), -6)), 'Rate History'!$A$2:$C$10, 3, TRUE)</f>
        <v>0</v>
      </c>
      <c r="E11" s="4">
        <f>VLOOKUP(IF($B$1, DATE($A11 + INT((3-1)/12), MOD(3-1,12)+1, 15), EDATE(DATE($A11 + INT((3-1)/12), MOD(3-1,12)+1, 15), -6)), 'Rate History'!$A$2:$C$10, 3, TRUE)</f>
        <v>0</v>
      </c>
      <c r="F11" s="4">
        <f>VLOOKUP(IF($B$1, DATE($A11 + INT((4-1)/12), MOD(4-1,12)+1, 15), EDATE(DATE($A11 + INT((4-1)/12), MOD(4-1,12)+1, 15), -6)), 'Rate History'!$A$2:$C$10, 3, TRUE)</f>
        <v>0</v>
      </c>
      <c r="G11" s="4">
        <f>VLOOKUP(IF($B$1, DATE($A11 + INT((5-1)/12), MOD(5-1,12)+1, 15), EDATE(DATE($A11 + INT((5-1)/12), MOD(5-1,12)+1, 15), -6)), 'Rate History'!$A$2:$C$10, 3, TRUE)</f>
        <v>0</v>
      </c>
      <c r="H11" s="4">
        <f>VLOOKUP(IF($B$1, DATE($A11 + INT((6-1)/12), MOD(6-1,12)+1, 15), EDATE(DATE($A11 + INT((6-1)/12), MOD(6-1,12)+1, 15), -6)), 'Rate History'!$A$2:$C$10, 3, TRUE)</f>
        <v>0</v>
      </c>
      <c r="I11" s="4">
        <f>VLOOKUP(IF($B$1, DATE($A11 + INT((7-1)/12), MOD(7-1,12)+1, 15), EDATE(DATE($A11 + INT((7-1)/12), MOD(7-1,12)+1, 15), -6)), 'Rate History'!$A$2:$C$10, 3, TRUE)</f>
        <v>0</v>
      </c>
      <c r="J11" s="4">
        <f>VLOOKUP(IF($B$1, DATE($A11 + INT((8-1)/12), MOD(8-1,12)+1, 15), EDATE(DATE($A11 + INT((8-1)/12), MOD(8-1,12)+1, 15), -6)), 'Rate History'!$A$2:$C$10, 3, TRUE)</f>
        <v>0</v>
      </c>
      <c r="K11" s="4">
        <f>VLOOKUP(IF($B$1, DATE($A11 + INT((9-1)/12), MOD(9-1,12)+1, 15), EDATE(DATE($A11 + INT((9-1)/12), MOD(9-1,12)+1, 15), -6)), 'Rate History'!$A$2:$C$10, 3, TRUE)</f>
        <v>0</v>
      </c>
      <c r="L11" s="4">
        <f>VLOOKUP(IF($B$1, DATE($A11 + INT((10-1)/12), MOD(10-1,12)+1, 15), EDATE(DATE($A11 + INT((10-1)/12), MOD(10-1,12)+1, 15), -6)), 'Rate History'!$A$2:$C$10, 3, TRUE)</f>
        <v>0</v>
      </c>
      <c r="M11" s="4">
        <f>VLOOKUP(IF($B$1, DATE($A11 + INT((11-1)/12), MOD(11-1,12)+1, 15), EDATE(DATE($A11 + INT((11-1)/12), MOD(11-1,12)+1, 15), -6)), 'Rate History'!$A$2:$C$10, 3, TRUE)</f>
        <v>0</v>
      </c>
      <c r="N11" s="4">
        <f>VLOOKUP(IF($B$1, DATE($A11 + INT((12-1)/12), MOD(12-1,12)+1, 15), EDATE(DATE($A11 + INT((12-1)/12), MOD(12-1,12)+1, 15), -6)), 'Rate History'!$A$2:$C$10, 3, TRUE)</f>
        <v>0</v>
      </c>
      <c r="O11" s="4">
        <f>VLOOKUP(IF($B$1, DATE($A11 + INT((13-1)/12), MOD(13-1,12)+1, 15), EDATE(DATE($A11 + INT((13-1)/12), MOD(13-1,12)+1, 15), -6)), 'Rate History'!$A$2:$C$10, 3, TRUE)</f>
        <v>0</v>
      </c>
      <c r="P11" s="4">
        <f>VLOOKUP(IF($B$1, DATE($A11 + INT((14-1)/12), MOD(14-1,12)+1, 15), EDATE(DATE($A11 + INT((14-1)/12), MOD(14-1,12)+1, 15), -6)), 'Rate History'!$A$2:$C$10, 3, TRUE)</f>
        <v>0</v>
      </c>
      <c r="Q11" s="4">
        <f>VLOOKUP(IF($B$1, DATE($A11 + INT((15-1)/12), MOD(15-1,12)+1, 15), EDATE(DATE($A11 + INT((15-1)/12), MOD(15-1,12)+1, 15), -6)), 'Rate History'!$A$2:$C$10, 3, TRUE)</f>
        <v>0</v>
      </c>
      <c r="R11" s="4">
        <f>VLOOKUP(IF($B$1, DATE($A11 + INT((16-1)/12), MOD(16-1,12)+1, 15), EDATE(DATE($A11 + INT((16-1)/12), MOD(16-1,12)+1, 15), -6)), 'Rate History'!$A$2:$C$10, 3, TRUE)</f>
        <v>0</v>
      </c>
      <c r="S11" s="4">
        <f>VLOOKUP(IF($B$1, DATE($A11 + INT((17-1)/12), MOD(17-1,12)+1, 15), EDATE(DATE($A11 + INT((17-1)/12), MOD(17-1,12)+1, 15), -6)), 'Rate History'!$A$2:$C$10, 3, TRUE)</f>
        <v>0</v>
      </c>
      <c r="T11" s="4">
        <f>VLOOKUP(IF($B$1, DATE($A11 + INT((18-1)/12), MOD(18-1,12)+1, 15), EDATE(DATE($A11 + INT((18-1)/12), MOD(18-1,12)+1, 15), -6)), 'Rate History'!$A$2:$C$10, 3, TRUE)</f>
        <v>0</v>
      </c>
      <c r="U11" s="4">
        <f>VLOOKUP(IF($B$1, DATE($A11 + INT((19-1)/12), MOD(19-1,12)+1, 15), EDATE(DATE($A11 + INT((19-1)/12), MOD(19-1,12)+1, 15), -6)), 'Rate History'!$A$2:$C$10, 3, TRUE)</f>
        <v>0</v>
      </c>
      <c r="V11" s="4">
        <f>VLOOKUP(IF($B$1, DATE($A11 + INT((20-1)/12), MOD(20-1,12)+1, 15), EDATE(DATE($A11 + INT((20-1)/12), MOD(20-1,12)+1, 15), -6)), 'Rate History'!$A$2:$C$10, 3, TRUE)</f>
        <v>0</v>
      </c>
      <c r="W11" s="4">
        <f>VLOOKUP(IF($B$1, DATE($A11 + INT((21-1)/12), MOD(21-1,12)+1, 15), EDATE(DATE($A11 + INT((21-1)/12), MOD(21-1,12)+1, 15), -6)), 'Rate History'!$A$2:$C$10, 3, TRUE)</f>
        <v>0</v>
      </c>
      <c r="X11" s="4">
        <f>VLOOKUP(IF($B$1, DATE($A11 + INT((22-1)/12), MOD(22-1,12)+1, 15), EDATE(DATE($A11 + INT((22-1)/12), MOD(22-1,12)+1, 15), -6)), 'Rate History'!$A$2:$C$10, 3, TRUE)</f>
        <v>0</v>
      </c>
      <c r="Y11" s="4">
        <f>VLOOKUP(IF($B$1, DATE($A11 + INT((23-1)/12), MOD(23-1,12)+1, 15), EDATE(DATE($A11 + INT((23-1)/12), MOD(23-1,12)+1, 15), -6)), 'Rate History'!$A$2:$C$10, 3, TRUE)</f>
        <v>0</v>
      </c>
      <c r="Z11" s="4">
        <f>VLOOKUP(IF($B$1, DATE($A11 + INT((24-1)/12), MOD(24-1,12)+1, 15), EDATE(DATE($A11 + INT((24-1)/12), MOD(24-1,12)+1, 15), -6)), 'Rate History'!$A$2:$C$10, 3, TRUE)</f>
        <v>0</v>
      </c>
      <c r="AA11" s="4">
        <f>SUMPRODUCT(C$4:Z$4, C11:Z11)</f>
        <v>0</v>
      </c>
      <c r="AB11" s="6">
        <f>'Rate History'!$C$13 / AA11</f>
        <v>0</v>
      </c>
      <c r="AC11" s="8">
        <f>$B11 * AB11</f>
        <v>0</v>
      </c>
    </row>
    <row r="12" spans="1:29">
      <c r="A12">
        <v>2022</v>
      </c>
      <c r="B12" s="7">
        <v>365106</v>
      </c>
      <c r="C12" s="4">
        <f>VLOOKUP(IF($B$1, DATE($A12 + INT((1-1)/12), MOD(1-1,12)+1, 15), EDATE(DATE($A12 + INT((1-1)/12), MOD(1-1,12)+1, 15), -6)), 'Rate History'!$A$2:$C$10, 3, TRUE)</f>
        <v>0</v>
      </c>
      <c r="D12" s="4">
        <f>VLOOKUP(IF($B$1, DATE($A12 + INT((2-1)/12), MOD(2-1,12)+1, 15), EDATE(DATE($A12 + INT((2-1)/12), MOD(2-1,12)+1, 15), -6)), 'Rate History'!$A$2:$C$10, 3, TRUE)</f>
        <v>0</v>
      </c>
      <c r="E12" s="4">
        <f>VLOOKUP(IF($B$1, DATE($A12 + INT((3-1)/12), MOD(3-1,12)+1, 15), EDATE(DATE($A12 + INT((3-1)/12), MOD(3-1,12)+1, 15), -6)), 'Rate History'!$A$2:$C$10, 3, TRUE)</f>
        <v>0</v>
      </c>
      <c r="F12" s="4">
        <f>VLOOKUP(IF($B$1, DATE($A12 + INT((4-1)/12), MOD(4-1,12)+1, 15), EDATE(DATE($A12 + INT((4-1)/12), MOD(4-1,12)+1, 15), -6)), 'Rate History'!$A$2:$C$10, 3, TRUE)</f>
        <v>0</v>
      </c>
      <c r="G12" s="4">
        <f>VLOOKUP(IF($B$1, DATE($A12 + INT((5-1)/12), MOD(5-1,12)+1, 15), EDATE(DATE($A12 + INT((5-1)/12), MOD(5-1,12)+1, 15), -6)), 'Rate History'!$A$2:$C$10, 3, TRUE)</f>
        <v>0</v>
      </c>
      <c r="H12" s="4">
        <f>VLOOKUP(IF($B$1, DATE($A12 + INT((6-1)/12), MOD(6-1,12)+1, 15), EDATE(DATE($A12 + INT((6-1)/12), MOD(6-1,12)+1, 15), -6)), 'Rate History'!$A$2:$C$10, 3, TRUE)</f>
        <v>0</v>
      </c>
      <c r="I12" s="4">
        <f>VLOOKUP(IF($B$1, DATE($A12 + INT((7-1)/12), MOD(7-1,12)+1, 15), EDATE(DATE($A12 + INT((7-1)/12), MOD(7-1,12)+1, 15), -6)), 'Rate History'!$A$2:$C$10, 3, TRUE)</f>
        <v>0</v>
      </c>
      <c r="J12" s="4">
        <f>VLOOKUP(IF($B$1, DATE($A12 + INT((8-1)/12), MOD(8-1,12)+1, 15), EDATE(DATE($A12 + INT((8-1)/12), MOD(8-1,12)+1, 15), -6)), 'Rate History'!$A$2:$C$10, 3, TRUE)</f>
        <v>0</v>
      </c>
      <c r="K12" s="4">
        <f>VLOOKUP(IF($B$1, DATE($A12 + INT((9-1)/12), MOD(9-1,12)+1, 15), EDATE(DATE($A12 + INT((9-1)/12), MOD(9-1,12)+1, 15), -6)), 'Rate History'!$A$2:$C$10, 3, TRUE)</f>
        <v>0</v>
      </c>
      <c r="L12" s="4">
        <f>VLOOKUP(IF($B$1, DATE($A12 + INT((10-1)/12), MOD(10-1,12)+1, 15), EDATE(DATE($A12 + INT((10-1)/12), MOD(10-1,12)+1, 15), -6)), 'Rate History'!$A$2:$C$10, 3, TRUE)</f>
        <v>0</v>
      </c>
      <c r="M12" s="4">
        <f>VLOOKUP(IF($B$1, DATE($A12 + INT((11-1)/12), MOD(11-1,12)+1, 15), EDATE(DATE($A12 + INT((11-1)/12), MOD(11-1,12)+1, 15), -6)), 'Rate History'!$A$2:$C$10, 3, TRUE)</f>
        <v>0</v>
      </c>
      <c r="N12" s="4">
        <f>VLOOKUP(IF($B$1, DATE($A12 + INT((12-1)/12), MOD(12-1,12)+1, 15), EDATE(DATE($A12 + INT((12-1)/12), MOD(12-1,12)+1, 15), -6)), 'Rate History'!$A$2:$C$10, 3, TRUE)</f>
        <v>0</v>
      </c>
      <c r="O12" s="4">
        <f>VLOOKUP(IF($B$1, DATE($A12 + INT((13-1)/12), MOD(13-1,12)+1, 15), EDATE(DATE($A12 + INT((13-1)/12), MOD(13-1,12)+1, 15), -6)), 'Rate History'!$A$2:$C$10, 3, TRUE)</f>
        <v>0</v>
      </c>
      <c r="P12" s="4">
        <f>VLOOKUP(IF($B$1, DATE($A12 + INT((14-1)/12), MOD(14-1,12)+1, 15), EDATE(DATE($A12 + INT((14-1)/12), MOD(14-1,12)+1, 15), -6)), 'Rate History'!$A$2:$C$10, 3, TRUE)</f>
        <v>0</v>
      </c>
      <c r="Q12" s="4">
        <f>VLOOKUP(IF($B$1, DATE($A12 + INT((15-1)/12), MOD(15-1,12)+1, 15), EDATE(DATE($A12 + INT((15-1)/12), MOD(15-1,12)+1, 15), -6)), 'Rate History'!$A$2:$C$10, 3, TRUE)</f>
        <v>0</v>
      </c>
      <c r="R12" s="4">
        <f>VLOOKUP(IF($B$1, DATE($A12 + INT((16-1)/12), MOD(16-1,12)+1, 15), EDATE(DATE($A12 + INT((16-1)/12), MOD(16-1,12)+1, 15), -6)), 'Rate History'!$A$2:$C$10, 3, TRUE)</f>
        <v>0</v>
      </c>
      <c r="S12" s="4">
        <f>VLOOKUP(IF($B$1, DATE($A12 + INT((17-1)/12), MOD(17-1,12)+1, 15), EDATE(DATE($A12 + INT((17-1)/12), MOD(17-1,12)+1, 15), -6)), 'Rate History'!$A$2:$C$10, 3, TRUE)</f>
        <v>0</v>
      </c>
      <c r="T12" s="4">
        <f>VLOOKUP(IF($B$1, DATE($A12 + INT((18-1)/12), MOD(18-1,12)+1, 15), EDATE(DATE($A12 + INT((18-1)/12), MOD(18-1,12)+1, 15), -6)), 'Rate History'!$A$2:$C$10, 3, TRUE)</f>
        <v>0</v>
      </c>
      <c r="U12" s="4">
        <f>VLOOKUP(IF($B$1, DATE($A12 + INT((19-1)/12), MOD(19-1,12)+1, 15), EDATE(DATE($A12 + INT((19-1)/12), MOD(19-1,12)+1, 15), -6)), 'Rate History'!$A$2:$C$10, 3, TRUE)</f>
        <v>0</v>
      </c>
      <c r="V12" s="4">
        <f>VLOOKUP(IF($B$1, DATE($A12 + INT((20-1)/12), MOD(20-1,12)+1, 15), EDATE(DATE($A12 + INT((20-1)/12), MOD(20-1,12)+1, 15), -6)), 'Rate History'!$A$2:$C$10, 3, TRUE)</f>
        <v>0</v>
      </c>
      <c r="W12" s="4">
        <f>VLOOKUP(IF($B$1, DATE($A12 + INT((21-1)/12), MOD(21-1,12)+1, 15), EDATE(DATE($A12 + INT((21-1)/12), MOD(21-1,12)+1, 15), -6)), 'Rate History'!$A$2:$C$10, 3, TRUE)</f>
        <v>0</v>
      </c>
      <c r="X12" s="4">
        <f>VLOOKUP(IF($B$1, DATE($A12 + INT((22-1)/12), MOD(22-1,12)+1, 15), EDATE(DATE($A12 + INT((22-1)/12), MOD(22-1,12)+1, 15), -6)), 'Rate History'!$A$2:$C$10, 3, TRUE)</f>
        <v>0</v>
      </c>
      <c r="Y12" s="4">
        <f>VLOOKUP(IF($B$1, DATE($A12 + INT((23-1)/12), MOD(23-1,12)+1, 15), EDATE(DATE($A12 + INT((23-1)/12), MOD(23-1,12)+1, 15), -6)), 'Rate History'!$A$2:$C$10, 3, TRUE)</f>
        <v>0</v>
      </c>
      <c r="Z12" s="4">
        <f>VLOOKUP(IF($B$1, DATE($A12 + INT((24-1)/12), MOD(24-1,12)+1, 15), EDATE(DATE($A12 + INT((24-1)/12), MOD(24-1,12)+1, 15), -6)), 'Rate History'!$A$2:$C$10, 3, TRUE)</f>
        <v>0</v>
      </c>
      <c r="AA12" s="4">
        <f>SUMPRODUCT(C$4:Z$4, C12:Z12)</f>
        <v>0</v>
      </c>
      <c r="AB12" s="6">
        <f>'Rate History'!$C$13 / AA12</f>
        <v>0</v>
      </c>
      <c r="AC12" s="8">
        <f>$B12 * AB12</f>
        <v>0</v>
      </c>
    </row>
    <row r="13" spans="1:29">
      <c r="A13">
        <v>2023</v>
      </c>
      <c r="B13" s="7">
        <v>208127</v>
      </c>
      <c r="C13" s="4">
        <f>VLOOKUP(IF($B$1, DATE($A13 + INT((1-1)/12), MOD(1-1,12)+1, 15), EDATE(DATE($A13 + INT((1-1)/12), MOD(1-1,12)+1, 15), -6)), 'Rate History'!$A$2:$C$10, 3, TRUE)</f>
        <v>0</v>
      </c>
      <c r="D13" s="4">
        <f>VLOOKUP(IF($B$1, DATE($A13 + INT((2-1)/12), MOD(2-1,12)+1, 15), EDATE(DATE($A13 + INT((2-1)/12), MOD(2-1,12)+1, 15), -6)), 'Rate History'!$A$2:$C$10, 3, TRUE)</f>
        <v>0</v>
      </c>
      <c r="E13" s="4">
        <f>VLOOKUP(IF($B$1, DATE($A13 + INT((3-1)/12), MOD(3-1,12)+1, 15), EDATE(DATE($A13 + INT((3-1)/12), MOD(3-1,12)+1, 15), -6)), 'Rate History'!$A$2:$C$10, 3, TRUE)</f>
        <v>0</v>
      </c>
      <c r="F13" s="4">
        <f>VLOOKUP(IF($B$1, DATE($A13 + INT((4-1)/12), MOD(4-1,12)+1, 15), EDATE(DATE($A13 + INT((4-1)/12), MOD(4-1,12)+1, 15), -6)), 'Rate History'!$A$2:$C$10, 3, TRUE)</f>
        <v>0</v>
      </c>
      <c r="G13" s="4">
        <f>VLOOKUP(IF($B$1, DATE($A13 + INT((5-1)/12), MOD(5-1,12)+1, 15), EDATE(DATE($A13 + INT((5-1)/12), MOD(5-1,12)+1, 15), -6)), 'Rate History'!$A$2:$C$10, 3, TRUE)</f>
        <v>0</v>
      </c>
      <c r="H13" s="4">
        <f>VLOOKUP(IF($B$1, DATE($A13 + INT((6-1)/12), MOD(6-1,12)+1, 15), EDATE(DATE($A13 + INT((6-1)/12), MOD(6-1,12)+1, 15), -6)), 'Rate History'!$A$2:$C$10, 3, TRUE)</f>
        <v>0</v>
      </c>
      <c r="I13" s="4">
        <f>VLOOKUP(IF($B$1, DATE($A13 + INT((7-1)/12), MOD(7-1,12)+1, 15), EDATE(DATE($A13 + INT((7-1)/12), MOD(7-1,12)+1, 15), -6)), 'Rate History'!$A$2:$C$10, 3, TRUE)</f>
        <v>0</v>
      </c>
      <c r="J13" s="4">
        <f>VLOOKUP(IF($B$1, DATE($A13 + INT((8-1)/12), MOD(8-1,12)+1, 15), EDATE(DATE($A13 + INT((8-1)/12), MOD(8-1,12)+1, 15), -6)), 'Rate History'!$A$2:$C$10, 3, TRUE)</f>
        <v>0</v>
      </c>
      <c r="K13" s="4">
        <f>VLOOKUP(IF($B$1, DATE($A13 + INT((9-1)/12), MOD(9-1,12)+1, 15), EDATE(DATE($A13 + INT((9-1)/12), MOD(9-1,12)+1, 15), -6)), 'Rate History'!$A$2:$C$10, 3, TRUE)</f>
        <v>0</v>
      </c>
      <c r="L13" s="4">
        <f>VLOOKUP(IF($B$1, DATE($A13 + INT((10-1)/12), MOD(10-1,12)+1, 15), EDATE(DATE($A13 + INT((10-1)/12), MOD(10-1,12)+1, 15), -6)), 'Rate History'!$A$2:$C$10, 3, TRUE)</f>
        <v>0</v>
      </c>
      <c r="M13" s="4">
        <f>VLOOKUP(IF($B$1, DATE($A13 + INT((11-1)/12), MOD(11-1,12)+1, 15), EDATE(DATE($A13 + INT((11-1)/12), MOD(11-1,12)+1, 15), -6)), 'Rate History'!$A$2:$C$10, 3, TRUE)</f>
        <v>0</v>
      </c>
      <c r="N13" s="4">
        <f>VLOOKUP(IF($B$1, DATE($A13 + INT((12-1)/12), MOD(12-1,12)+1, 15), EDATE(DATE($A13 + INT((12-1)/12), MOD(12-1,12)+1, 15), -6)), 'Rate History'!$A$2:$C$10, 3, TRUE)</f>
        <v>0</v>
      </c>
      <c r="O13" s="4">
        <f>VLOOKUP(IF($B$1, DATE($A13 + INT((13-1)/12), MOD(13-1,12)+1, 15), EDATE(DATE($A13 + INT((13-1)/12), MOD(13-1,12)+1, 15), -6)), 'Rate History'!$A$2:$C$10, 3, TRUE)</f>
        <v>0</v>
      </c>
      <c r="P13" s="4">
        <f>VLOOKUP(IF($B$1, DATE($A13 + INT((14-1)/12), MOD(14-1,12)+1, 15), EDATE(DATE($A13 + INT((14-1)/12), MOD(14-1,12)+1, 15), -6)), 'Rate History'!$A$2:$C$10, 3, TRUE)</f>
        <v>0</v>
      </c>
      <c r="Q13" s="4">
        <f>VLOOKUP(IF($B$1, DATE($A13 + INT((15-1)/12), MOD(15-1,12)+1, 15), EDATE(DATE($A13 + INT((15-1)/12), MOD(15-1,12)+1, 15), -6)), 'Rate History'!$A$2:$C$10, 3, TRUE)</f>
        <v>0</v>
      </c>
      <c r="R13" s="4">
        <f>VLOOKUP(IF($B$1, DATE($A13 + INT((16-1)/12), MOD(16-1,12)+1, 15), EDATE(DATE($A13 + INT((16-1)/12), MOD(16-1,12)+1, 15), -6)), 'Rate History'!$A$2:$C$10, 3, TRUE)</f>
        <v>0</v>
      </c>
      <c r="S13" s="4">
        <f>VLOOKUP(IF($B$1, DATE($A13 + INT((17-1)/12), MOD(17-1,12)+1, 15), EDATE(DATE($A13 + INT((17-1)/12), MOD(17-1,12)+1, 15), -6)), 'Rate History'!$A$2:$C$10, 3, TRUE)</f>
        <v>0</v>
      </c>
      <c r="T13" s="4">
        <f>VLOOKUP(IF($B$1, DATE($A13 + INT((18-1)/12), MOD(18-1,12)+1, 15), EDATE(DATE($A13 + INT((18-1)/12), MOD(18-1,12)+1, 15), -6)), 'Rate History'!$A$2:$C$10, 3, TRUE)</f>
        <v>0</v>
      </c>
      <c r="U13" s="4">
        <f>VLOOKUP(IF($B$1, DATE($A13 + INT((19-1)/12), MOD(19-1,12)+1, 15), EDATE(DATE($A13 + INT((19-1)/12), MOD(19-1,12)+1, 15), -6)), 'Rate History'!$A$2:$C$10, 3, TRUE)</f>
        <v>0</v>
      </c>
      <c r="V13" s="4">
        <f>VLOOKUP(IF($B$1, DATE($A13 + INT((20-1)/12), MOD(20-1,12)+1, 15), EDATE(DATE($A13 + INT((20-1)/12), MOD(20-1,12)+1, 15), -6)), 'Rate History'!$A$2:$C$10, 3, TRUE)</f>
        <v>0</v>
      </c>
      <c r="W13" s="4">
        <f>VLOOKUP(IF($B$1, DATE($A13 + INT((21-1)/12), MOD(21-1,12)+1, 15), EDATE(DATE($A13 + INT((21-1)/12), MOD(21-1,12)+1, 15), -6)), 'Rate History'!$A$2:$C$10, 3, TRUE)</f>
        <v>0</v>
      </c>
      <c r="X13" s="4">
        <f>VLOOKUP(IF($B$1, DATE($A13 + INT((22-1)/12), MOD(22-1,12)+1, 15), EDATE(DATE($A13 + INT((22-1)/12), MOD(22-1,12)+1, 15), -6)), 'Rate History'!$A$2:$C$10, 3, TRUE)</f>
        <v>0</v>
      </c>
      <c r="Y13" s="4">
        <f>VLOOKUP(IF($B$1, DATE($A13 + INT((23-1)/12), MOD(23-1,12)+1, 15), EDATE(DATE($A13 + INT((23-1)/12), MOD(23-1,12)+1, 15), -6)), 'Rate History'!$A$2:$C$10, 3, TRUE)</f>
        <v>0</v>
      </c>
      <c r="Z13" s="4">
        <f>VLOOKUP(IF($B$1, DATE($A13 + INT((24-1)/12), MOD(24-1,12)+1, 15), EDATE(DATE($A13 + INT((24-1)/12), MOD(24-1,12)+1, 15), -6)), 'Rate History'!$A$2:$C$10, 3, TRUE)</f>
        <v>0</v>
      </c>
      <c r="AA13" s="4">
        <f>SUMPRODUCT(C$4:Z$4, C13:Z13)</f>
        <v>0</v>
      </c>
      <c r="AB13" s="6">
        <f>'Rate History'!$C$13 / AA13</f>
        <v>0</v>
      </c>
      <c r="AC13" s="8">
        <f>$B13 * AB13</f>
        <v>0</v>
      </c>
    </row>
    <row r="14" spans="1:29">
      <c r="A14">
        <v>2024</v>
      </c>
      <c r="B14" s="7">
        <v>453117</v>
      </c>
      <c r="C14" s="4">
        <f>VLOOKUP(IF($B$1, DATE($A14 + INT((1-1)/12), MOD(1-1,12)+1, 15), EDATE(DATE($A14 + INT((1-1)/12), MOD(1-1,12)+1, 15), -6)), 'Rate History'!$A$2:$C$10, 3, TRUE)</f>
        <v>0</v>
      </c>
      <c r="D14" s="4">
        <f>VLOOKUP(IF($B$1, DATE($A14 + INT((2-1)/12), MOD(2-1,12)+1, 15), EDATE(DATE($A14 + INT((2-1)/12), MOD(2-1,12)+1, 15), -6)), 'Rate History'!$A$2:$C$10, 3, TRUE)</f>
        <v>0</v>
      </c>
      <c r="E14" s="4">
        <f>VLOOKUP(IF($B$1, DATE($A14 + INT((3-1)/12), MOD(3-1,12)+1, 15), EDATE(DATE($A14 + INT((3-1)/12), MOD(3-1,12)+1, 15), -6)), 'Rate History'!$A$2:$C$10, 3, TRUE)</f>
        <v>0</v>
      </c>
      <c r="F14" s="4">
        <f>VLOOKUP(IF($B$1, DATE($A14 + INT((4-1)/12), MOD(4-1,12)+1, 15), EDATE(DATE($A14 + INT((4-1)/12), MOD(4-1,12)+1, 15), -6)), 'Rate History'!$A$2:$C$10, 3, TRUE)</f>
        <v>0</v>
      </c>
      <c r="G14" s="4">
        <f>VLOOKUP(IF($B$1, DATE($A14 + INT((5-1)/12), MOD(5-1,12)+1, 15), EDATE(DATE($A14 + INT((5-1)/12), MOD(5-1,12)+1, 15), -6)), 'Rate History'!$A$2:$C$10, 3, TRUE)</f>
        <v>0</v>
      </c>
      <c r="H14" s="4">
        <f>VLOOKUP(IF($B$1, DATE($A14 + INT((6-1)/12), MOD(6-1,12)+1, 15), EDATE(DATE($A14 + INT((6-1)/12), MOD(6-1,12)+1, 15), -6)), 'Rate History'!$A$2:$C$10, 3, TRUE)</f>
        <v>0</v>
      </c>
      <c r="I14" s="4">
        <f>VLOOKUP(IF($B$1, DATE($A14 + INT((7-1)/12), MOD(7-1,12)+1, 15), EDATE(DATE($A14 + INT((7-1)/12), MOD(7-1,12)+1, 15), -6)), 'Rate History'!$A$2:$C$10, 3, TRUE)</f>
        <v>0</v>
      </c>
      <c r="J14" s="4">
        <f>VLOOKUP(IF($B$1, DATE($A14 + INT((8-1)/12), MOD(8-1,12)+1, 15), EDATE(DATE($A14 + INT((8-1)/12), MOD(8-1,12)+1, 15), -6)), 'Rate History'!$A$2:$C$10, 3, TRUE)</f>
        <v>0</v>
      </c>
      <c r="K14" s="4">
        <f>VLOOKUP(IF($B$1, DATE($A14 + INT((9-1)/12), MOD(9-1,12)+1, 15), EDATE(DATE($A14 + INT((9-1)/12), MOD(9-1,12)+1, 15), -6)), 'Rate History'!$A$2:$C$10, 3, TRUE)</f>
        <v>0</v>
      </c>
      <c r="L14" s="4">
        <f>VLOOKUP(IF($B$1, DATE($A14 + INT((10-1)/12), MOD(10-1,12)+1, 15), EDATE(DATE($A14 + INT((10-1)/12), MOD(10-1,12)+1, 15), -6)), 'Rate History'!$A$2:$C$10, 3, TRUE)</f>
        <v>0</v>
      </c>
      <c r="M14" s="4">
        <f>VLOOKUP(IF($B$1, DATE($A14 + INT((11-1)/12), MOD(11-1,12)+1, 15), EDATE(DATE($A14 + INT((11-1)/12), MOD(11-1,12)+1, 15), -6)), 'Rate History'!$A$2:$C$10, 3, TRUE)</f>
        <v>0</v>
      </c>
      <c r="N14" s="4">
        <f>VLOOKUP(IF($B$1, DATE($A14 + INT((12-1)/12), MOD(12-1,12)+1, 15), EDATE(DATE($A14 + INT((12-1)/12), MOD(12-1,12)+1, 15), -6)), 'Rate History'!$A$2:$C$10, 3, TRUE)</f>
        <v>0</v>
      </c>
      <c r="O14" s="4">
        <f>VLOOKUP(IF($B$1, DATE($A14 + INT((13-1)/12), MOD(13-1,12)+1, 15), EDATE(DATE($A14 + INT((13-1)/12), MOD(13-1,12)+1, 15), -6)), 'Rate History'!$A$2:$C$10, 3, TRUE)</f>
        <v>0</v>
      </c>
      <c r="P14" s="4">
        <f>VLOOKUP(IF($B$1, DATE($A14 + INT((14-1)/12), MOD(14-1,12)+1, 15), EDATE(DATE($A14 + INT((14-1)/12), MOD(14-1,12)+1, 15), -6)), 'Rate History'!$A$2:$C$10, 3, TRUE)</f>
        <v>0</v>
      </c>
      <c r="Q14" s="4">
        <f>VLOOKUP(IF($B$1, DATE($A14 + INT((15-1)/12), MOD(15-1,12)+1, 15), EDATE(DATE($A14 + INT((15-1)/12), MOD(15-1,12)+1, 15), -6)), 'Rate History'!$A$2:$C$10, 3, TRUE)</f>
        <v>0</v>
      </c>
      <c r="R14" s="4">
        <f>VLOOKUP(IF($B$1, DATE($A14 + INT((16-1)/12), MOD(16-1,12)+1, 15), EDATE(DATE($A14 + INT((16-1)/12), MOD(16-1,12)+1, 15), -6)), 'Rate History'!$A$2:$C$10, 3, TRUE)</f>
        <v>0</v>
      </c>
      <c r="S14" s="4">
        <f>VLOOKUP(IF($B$1, DATE($A14 + INT((17-1)/12), MOD(17-1,12)+1, 15), EDATE(DATE($A14 + INT((17-1)/12), MOD(17-1,12)+1, 15), -6)), 'Rate History'!$A$2:$C$10, 3, TRUE)</f>
        <v>0</v>
      </c>
      <c r="T14" s="4">
        <f>VLOOKUP(IF($B$1, DATE($A14 + INT((18-1)/12), MOD(18-1,12)+1, 15), EDATE(DATE($A14 + INT((18-1)/12), MOD(18-1,12)+1, 15), -6)), 'Rate History'!$A$2:$C$10, 3, TRUE)</f>
        <v>0</v>
      </c>
      <c r="U14" s="4">
        <f>VLOOKUP(IF($B$1, DATE($A14 + INT((19-1)/12), MOD(19-1,12)+1, 15), EDATE(DATE($A14 + INT((19-1)/12), MOD(19-1,12)+1, 15), -6)), 'Rate History'!$A$2:$C$10, 3, TRUE)</f>
        <v>0</v>
      </c>
      <c r="V14" s="4">
        <f>VLOOKUP(IF($B$1, DATE($A14 + INT((20-1)/12), MOD(20-1,12)+1, 15), EDATE(DATE($A14 + INT((20-1)/12), MOD(20-1,12)+1, 15), -6)), 'Rate History'!$A$2:$C$10, 3, TRUE)</f>
        <v>0</v>
      </c>
      <c r="W14" s="4">
        <f>VLOOKUP(IF($B$1, DATE($A14 + INT((21-1)/12), MOD(21-1,12)+1, 15), EDATE(DATE($A14 + INT((21-1)/12), MOD(21-1,12)+1, 15), -6)), 'Rate History'!$A$2:$C$10, 3, TRUE)</f>
        <v>0</v>
      </c>
      <c r="X14" s="4">
        <f>VLOOKUP(IF($B$1, DATE($A14 + INT((22-1)/12), MOD(22-1,12)+1, 15), EDATE(DATE($A14 + INT((22-1)/12), MOD(22-1,12)+1, 15), -6)), 'Rate History'!$A$2:$C$10, 3, TRUE)</f>
        <v>0</v>
      </c>
      <c r="Y14" s="4">
        <f>VLOOKUP(IF($B$1, DATE($A14 + INT((23-1)/12), MOD(23-1,12)+1, 15), EDATE(DATE($A14 + INT((23-1)/12), MOD(23-1,12)+1, 15), -6)), 'Rate History'!$A$2:$C$10, 3, TRUE)</f>
        <v>0</v>
      </c>
      <c r="Z14" s="4">
        <f>VLOOKUP(IF($B$1, DATE($A14 + INT((24-1)/12), MOD(24-1,12)+1, 15), EDATE(DATE($A14 + INT((24-1)/12), MOD(24-1,12)+1, 15), -6)), 'Rate History'!$A$2:$C$10, 3, TRUE)</f>
        <v>0</v>
      </c>
      <c r="AA14" s="4">
        <f>SUMPRODUCT(C$4:Z$4, C14:Z14)</f>
        <v>0</v>
      </c>
      <c r="AB14" s="6">
        <f>'Rate History'!$C$13 / AA14</f>
        <v>0</v>
      </c>
      <c r="AC14" s="8">
        <f>$B14 * AB14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Rate History</vt:lpstr>
      <vt:lpstr>WP Onleveling</vt:lpstr>
      <vt:lpstr>CY EP Onleveling</vt:lpstr>
      <vt:lpstr>PY EP Onleveling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2026-03-23T18:51:43Z</dcterms:created>
  <dcterms:modified xsi:type="dcterms:W3CDTF">2026-03-23T18:51:43Z</dcterms:modified>
</cp:coreProperties>
</file>