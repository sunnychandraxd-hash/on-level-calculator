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Rate_Changes" sheetId="1" r:id="rId1"/>
    <sheet name="2_Policy_Level (engine)" sheetId="2" r:id="rId2"/>
    <sheet name="3_Aggregated (parallel)" sheetId="3" r:id="rId3"/>
  </sheets>
  <calcPr calcId="124519" fullCalcOnLoad="1"/>
</workbook>
</file>

<file path=xl/sharedStrings.xml><?xml version="1.0" encoding="utf-8"?>
<sst xmlns="http://schemas.openxmlformats.org/spreadsheetml/2006/main" count="61" uniqueCount="54">
  <si>
    <t>Effective Date</t>
  </si>
  <si>
    <t>Rate Change %</t>
  </si>
  <si>
    <t>Cumulative Level</t>
  </si>
  <si>
    <t>Input</t>
  </si>
  <si>
    <t>Value</t>
  </si>
  <si>
    <t>Historical Premium</t>
  </si>
  <si>
    <t>Policy Effective Date</t>
  </si>
  <si>
    <t>Evaluation Date</t>
  </si>
  <si>
    <t>Policy Term (months)</t>
  </si>
  <si>
    <t>Written Factor Logic</t>
  </si>
  <si>
    <t>Current Level</t>
  </si>
  <si>
    <t>Historical Level</t>
  </si>
  <si>
    <t>Written Factor (Cur/Hist)</t>
  </si>
  <si>
    <t>Earned Factor Logic</t>
  </si>
  <si>
    <t>Assuming N periods (term_months)</t>
  </si>
  <si>
    <t>Period</t>
  </si>
  <si>
    <t>Mid-Date Formula (Info)</t>
  </si>
  <si>
    <t>Mid-Date (Eval)</t>
  </si>
  <si>
    <t>Rate Level</t>
  </si>
  <si>
    <t>Weight</t>
  </si>
  <si>
    <t>=INT($B$3 + ((1-0.5)/$B$5)*($B$5*30.4375))</t>
  </si>
  <si>
    <t>=INT($B$3 + ((2-0.5)/$B$5)*($B$5*30.4375))</t>
  </si>
  <si>
    <t>=INT($B$3 + ((3-0.5)/$B$5)*($B$5*30.4375))</t>
  </si>
  <si>
    <t>=INT($B$3 + ((4-0.5)/$B$5)*($B$5*30.4375))</t>
  </si>
  <si>
    <t>=INT($B$3 + ((5-0.5)/$B$5)*($B$5*30.4375))</t>
  </si>
  <si>
    <t>=INT($B$3 + ((6-0.5)/$B$5)*($B$5*30.4375))</t>
  </si>
  <si>
    <t>=INT($B$3 + ((7-0.5)/$B$5)*($B$5*30.4375))</t>
  </si>
  <si>
    <t>=INT($B$3 + ((8-0.5)/$B$5)*($B$5*30.4375))</t>
  </si>
  <si>
    <t>=INT($B$3 + ((9-0.5)/$B$5)*($B$5*30.4375))</t>
  </si>
  <si>
    <t>=INT($B$3 + ((10-0.5)/$B$5)*($B$5*30.4375))</t>
  </si>
  <si>
    <t>=INT($B$3 + ((11-0.5)/$B$5)*($B$5*30.4375))</t>
  </si>
  <si>
    <t>=INT($B$3 + ((12-0.5)/$B$5)*($B$5*30.4375))</t>
  </si>
  <si>
    <t>Weighted Hist Level:</t>
  </si>
  <si>
    <t>Earned Factor (Cur/W.Hist):</t>
  </si>
  <si>
    <t>Calendar/Policy Year</t>
  </si>
  <si>
    <t>Current Rate Level</t>
  </si>
  <si>
    <t>WP Factor Logic</t>
  </si>
  <si>
    <t>Avg Eff Date (July 1st)</t>
  </si>
  <si>
    <t>WP Factor</t>
  </si>
  <si>
    <t>PY EP Factor Logic</t>
  </si>
  <si>
    <t>Month (m)</t>
  </si>
  <si>
    <t>Calc Midpoint</t>
  </si>
  <si>
    <t>Eff Date (-term/2)</t>
  </si>
  <si>
    <t>Weight(w)</t>
  </si>
  <si>
    <t>Totals:</t>
  </si>
  <si>
    <t>Avg Level:</t>
  </si>
  <si>
    <t>PY Factor:</t>
  </si>
  <si>
    <t>CY EP Factor - 50x50 Integration (parallelogram.py)</t>
  </si>
  <si>
    <t>Point i</t>
  </si>
  <si>
    <t>Point j</t>
  </si>
  <si>
    <t>t_date (t)</t>
  </si>
  <si>
    <t>eff_date</t>
  </si>
  <si>
    <t>CY Avg Level:</t>
  </si>
  <si>
    <t>CY Factor: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</si>
</sst>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5.7109375" customWidth="1"/>
    <col min="2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44562</v>
      </c>
      <c r="B2" s="3">
        <v>0</v>
      </c>
      <c r="C2" s="4">
        <v>1</v>
      </c>
    </row>
    <row r="3" spans="1:3">
      <c r="A3" s="2">
        <v>44927</v>
      </c>
      <c r="B3" s="3">
        <v>0.05</v>
      </c>
      <c r="C3" s="4">
        <f>C2*(1+B3)</f>
        <v>0</v>
      </c>
    </row>
    <row r="4" spans="1:3">
      <c r="A4" s="2">
        <v>45474</v>
      </c>
      <c r="B4" s="3">
        <v>0.1</v>
      </c>
      <c r="C4" s="4">
        <f>C3*(1+B4)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5" width="25.7109375" customWidth="1"/>
  </cols>
  <sheetData>
    <row r="1" spans="1:5">
      <c r="A1" s="1" t="s">
        <v>3</v>
      </c>
      <c r="B1" s="1" t="s">
        <v>4</v>
      </c>
    </row>
    <row r="2" spans="1:5">
      <c r="A2" s="5" t="s">
        <v>5</v>
      </c>
      <c r="B2">
        <v>1000</v>
      </c>
    </row>
    <row r="3" spans="1:5">
      <c r="A3" s="5" t="s">
        <v>6</v>
      </c>
      <c r="B3" s="2">
        <v>45047</v>
      </c>
    </row>
    <row r="4" spans="1:5">
      <c r="A4" s="5" t="s">
        <v>7</v>
      </c>
      <c r="B4" s="2">
        <v>45658</v>
      </c>
    </row>
    <row r="5" spans="1:5">
      <c r="A5" s="5" t="s">
        <v>8</v>
      </c>
      <c r="B5">
        <v>12</v>
      </c>
    </row>
    <row r="7" spans="1:5">
      <c r="A7" s="1" t="s">
        <v>9</v>
      </c>
      <c r="B7" s="1"/>
    </row>
    <row r="8" spans="1:5">
      <c r="A8" s="5" t="s">
        <v>10</v>
      </c>
      <c r="B8" s="4">
        <f>VLOOKUP(B4, '1_Rate_Changes'!$A$2:$C$100, 3, TRUE)</f>
        <v>0</v>
      </c>
    </row>
    <row r="9" spans="1:5">
      <c r="A9" s="5" t="s">
        <v>11</v>
      </c>
      <c r="B9" s="4">
        <f>VLOOKUP(B3, '1_Rate_Changes'!$A$2:$C$100, 3, TRUE)</f>
        <v>0</v>
      </c>
    </row>
    <row r="10" spans="1:5">
      <c r="A10" s="5" t="s">
        <v>12</v>
      </c>
      <c r="B10" s="4">
        <f>B8/B9</f>
        <v>0</v>
      </c>
    </row>
    <row r="12" spans="1:5">
      <c r="A12" s="1" t="s">
        <v>13</v>
      </c>
      <c r="B12" s="1"/>
    </row>
    <row r="13" spans="1:5">
      <c r="A13" t="s">
        <v>14</v>
      </c>
    </row>
    <row r="14" spans="1: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</row>
    <row r="15" spans="1:5">
      <c r="A15">
        <v>1</v>
      </c>
      <c r="B15" t="s">
        <v>20</v>
      </c>
      <c r="C15" s="2">
        <f>INT($B$3 + ((1-0.5)/$B$5)*($B$5*30.4375))</f>
        <v>0</v>
      </c>
      <c r="D15" s="4">
        <f>VLOOKUP(C15, '1_Rate_Changes'!$A$2:$C$100, 3, TRUE)</f>
        <v>0</v>
      </c>
      <c r="E15" s="4">
        <v>0.08333333333333333</v>
      </c>
    </row>
    <row r="16" spans="1:5">
      <c r="A16">
        <v>2</v>
      </c>
      <c r="B16" t="s">
        <v>21</v>
      </c>
      <c r="C16" s="2">
        <f>INT($B$3 + ((2-0.5)/$B$5)*($B$5*30.4375))</f>
        <v>0</v>
      </c>
      <c r="D16" s="4">
        <f>VLOOKUP(C16, '1_Rate_Changes'!$A$2:$C$100, 3, TRUE)</f>
        <v>0</v>
      </c>
      <c r="E16" s="4">
        <v>0.08333333333333333</v>
      </c>
    </row>
    <row r="17" spans="1:5">
      <c r="A17">
        <v>3</v>
      </c>
      <c r="B17" t="s">
        <v>22</v>
      </c>
      <c r="C17" s="2">
        <f>INT($B$3 + ((3-0.5)/$B$5)*($B$5*30.4375))</f>
        <v>0</v>
      </c>
      <c r="D17" s="4">
        <f>VLOOKUP(C17, '1_Rate_Changes'!$A$2:$C$100, 3, TRUE)</f>
        <v>0</v>
      </c>
      <c r="E17" s="4">
        <v>0.08333333333333333</v>
      </c>
    </row>
    <row r="18" spans="1:5">
      <c r="A18">
        <v>4</v>
      </c>
      <c r="B18" t="s">
        <v>23</v>
      </c>
      <c r="C18" s="2">
        <f>INT($B$3 + ((4-0.5)/$B$5)*($B$5*30.4375))</f>
        <v>0</v>
      </c>
      <c r="D18" s="4">
        <f>VLOOKUP(C18, '1_Rate_Changes'!$A$2:$C$100, 3, TRUE)</f>
        <v>0</v>
      </c>
      <c r="E18" s="4">
        <v>0.08333333333333333</v>
      </c>
    </row>
    <row r="19" spans="1:5">
      <c r="A19">
        <v>5</v>
      </c>
      <c r="B19" t="s">
        <v>24</v>
      </c>
      <c r="C19" s="2">
        <f>INT($B$3 + ((5-0.5)/$B$5)*($B$5*30.4375))</f>
        <v>0</v>
      </c>
      <c r="D19" s="4">
        <f>VLOOKUP(C19, '1_Rate_Changes'!$A$2:$C$100, 3, TRUE)</f>
        <v>0</v>
      </c>
      <c r="E19" s="4">
        <v>0.08333333333333333</v>
      </c>
    </row>
    <row r="20" spans="1:5">
      <c r="A20">
        <v>6</v>
      </c>
      <c r="B20" t="s">
        <v>25</v>
      </c>
      <c r="C20" s="2">
        <f>INT($B$3 + ((6-0.5)/$B$5)*($B$5*30.4375))</f>
        <v>0</v>
      </c>
      <c r="D20" s="4">
        <f>VLOOKUP(C20, '1_Rate_Changes'!$A$2:$C$100, 3, TRUE)</f>
        <v>0</v>
      </c>
      <c r="E20" s="4">
        <v>0.08333333333333333</v>
      </c>
    </row>
    <row r="21" spans="1:5">
      <c r="A21">
        <v>7</v>
      </c>
      <c r="B21" t="s">
        <v>26</v>
      </c>
      <c r="C21" s="2">
        <f>INT($B$3 + ((7-0.5)/$B$5)*($B$5*30.4375))</f>
        <v>0</v>
      </c>
      <c r="D21" s="4">
        <f>VLOOKUP(C21, '1_Rate_Changes'!$A$2:$C$100, 3, TRUE)</f>
        <v>0</v>
      </c>
      <c r="E21" s="4">
        <v>0.08333333333333333</v>
      </c>
    </row>
    <row r="22" spans="1:5">
      <c r="A22">
        <v>8</v>
      </c>
      <c r="B22" t="s">
        <v>27</v>
      </c>
      <c r="C22" s="2">
        <f>INT($B$3 + ((8-0.5)/$B$5)*($B$5*30.4375))</f>
        <v>0</v>
      </c>
      <c r="D22" s="4">
        <f>VLOOKUP(C22, '1_Rate_Changes'!$A$2:$C$100, 3, TRUE)</f>
        <v>0</v>
      </c>
      <c r="E22" s="4">
        <v>0.08333333333333333</v>
      </c>
    </row>
    <row r="23" spans="1:5">
      <c r="A23">
        <v>9</v>
      </c>
      <c r="B23" t="s">
        <v>28</v>
      </c>
      <c r="C23" s="2">
        <f>INT($B$3 + ((9-0.5)/$B$5)*($B$5*30.4375))</f>
        <v>0</v>
      </c>
      <c r="D23" s="4">
        <f>VLOOKUP(C23, '1_Rate_Changes'!$A$2:$C$100, 3, TRUE)</f>
        <v>0</v>
      </c>
      <c r="E23" s="4">
        <v>0.08333333333333333</v>
      </c>
    </row>
    <row r="24" spans="1:5">
      <c r="A24">
        <v>10</v>
      </c>
      <c r="B24" t="s">
        <v>29</v>
      </c>
      <c r="C24" s="2">
        <f>INT($B$3 + ((10-0.5)/$B$5)*($B$5*30.4375))</f>
        <v>0</v>
      </c>
      <c r="D24" s="4">
        <f>VLOOKUP(C24, '1_Rate_Changes'!$A$2:$C$100, 3, TRUE)</f>
        <v>0</v>
      </c>
      <c r="E24" s="4">
        <v>0.08333333333333333</v>
      </c>
    </row>
    <row r="25" spans="1:5">
      <c r="A25">
        <v>11</v>
      </c>
      <c r="B25" t="s">
        <v>30</v>
      </c>
      <c r="C25" s="2">
        <f>INT($B$3 + ((11-0.5)/$B$5)*($B$5*30.4375))</f>
        <v>0</v>
      </c>
      <c r="D25" s="4">
        <f>VLOOKUP(C25, '1_Rate_Changes'!$A$2:$C$100, 3, TRUE)</f>
        <v>0</v>
      </c>
      <c r="E25" s="4">
        <v>0.08333333333333333</v>
      </c>
    </row>
    <row r="26" spans="1:5">
      <c r="A26">
        <v>12</v>
      </c>
      <c r="B26" t="s">
        <v>31</v>
      </c>
      <c r="C26" s="2">
        <f>INT($B$3 + ((12-0.5)/$B$5)*($B$5*30.4375))</f>
        <v>0</v>
      </c>
      <c r="D26" s="4">
        <f>VLOOKUP(C26, '1_Rate_Changes'!$A$2:$C$100, 3, TRUE)</f>
        <v>0</v>
      </c>
      <c r="E26" s="4">
        <v>0.08333333333333333</v>
      </c>
    </row>
    <row r="27" spans="1:5">
      <c r="C27" s="5" t="s">
        <v>32</v>
      </c>
      <c r="D27" s="4">
        <f>SUMPRODUCT(D15:D26, E15:E26)</f>
        <v>0</v>
      </c>
    </row>
    <row r="28" spans="1:5">
      <c r="C28" s="5" t="s">
        <v>33</v>
      </c>
      <c r="D28" s="4">
        <f>$B$8/D27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04"/>
  <sheetViews>
    <sheetView workbookViewId="0"/>
  </sheetViews>
  <sheetFormatPr defaultRowHeight="15"/>
  <cols>
    <col min="1" max="11" width="20.7109375" customWidth="1"/>
  </cols>
  <sheetData>
    <row r="1" spans="1:11">
      <c r="A1" s="1" t="s">
        <v>3</v>
      </c>
      <c r="B1" s="1" t="s">
        <v>4</v>
      </c>
      <c r="G1" s="1" t="s">
        <v>47</v>
      </c>
    </row>
    <row r="2" spans="1:11">
      <c r="A2" s="5" t="s">
        <v>7</v>
      </c>
      <c r="B2" s="2">
        <v>45658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18</v>
      </c>
    </row>
    <row r="3" spans="1:11">
      <c r="A3" s="5" t="s">
        <v>34</v>
      </c>
      <c r="B3">
        <v>2023</v>
      </c>
      <c r="G3">
        <v>0</v>
      </c>
      <c r="H3">
        <v>0</v>
      </c>
      <c r="I3" s="2">
        <f>INT(DATE($B$3,1,1) + (0+0.5)*365/50)</f>
        <v>0</v>
      </c>
      <c r="J3" s="2">
        <f>I3 - INT(ROUND($B$4 * 30.4375, 0) * (0+0.5)/50)</f>
        <v>0</v>
      </c>
      <c r="K3" s="4">
        <f>VLOOKUP(J3, '1_Rate_Changes'!$A$2:$C$100, 3, TRUE)</f>
        <v>0</v>
      </c>
    </row>
    <row r="4" spans="1:11">
      <c r="A4" s="5" t="s">
        <v>8</v>
      </c>
      <c r="B4">
        <v>12</v>
      </c>
      <c r="G4">
        <v>0</v>
      </c>
      <c r="H4">
        <v>1</v>
      </c>
      <c r="I4" s="2">
        <f>INT(DATE($B$3,1,1) + (0+0.5)*365/50)</f>
        <v>0</v>
      </c>
      <c r="J4" s="2">
        <f>I4 - INT(ROUND($B$4 * 30.4375, 0) * (1+0.5)/50)</f>
        <v>0</v>
      </c>
      <c r="K4" s="4">
        <f>VLOOKUP(J4, '1_Rate_Changes'!$A$2:$C$100, 3, TRUE)</f>
        <v>0</v>
      </c>
    </row>
    <row r="5" spans="1:11">
      <c r="A5" s="5" t="s">
        <v>35</v>
      </c>
      <c r="B5" s="4">
        <f>VLOOKUP(B2, '1_Rate_Changes'!$A$2:$C$100, 3, TRUE)</f>
        <v>0</v>
      </c>
      <c r="G5">
        <v>0</v>
      </c>
      <c r="H5">
        <v>2</v>
      </c>
      <c r="I5" s="2">
        <f>INT(DATE($B$3,1,1) + (0+0.5)*365/50)</f>
        <v>0</v>
      </c>
      <c r="J5" s="2">
        <f>I5 - INT(ROUND($B$4 * 30.4375, 0) * (2+0.5)/50)</f>
        <v>0</v>
      </c>
      <c r="K5" s="4">
        <f>VLOOKUP(J5, '1_Rate_Changes'!$A$2:$C$100, 3, TRUE)</f>
        <v>0</v>
      </c>
    </row>
    <row r="6" spans="1:11">
      <c r="G6">
        <v>0</v>
      </c>
      <c r="H6">
        <v>3</v>
      </c>
      <c r="I6" s="2">
        <f>INT(DATE($B$3,1,1) + (0+0.5)*365/50)</f>
        <v>0</v>
      </c>
      <c r="J6" s="2">
        <f>I6 - INT(ROUND($B$4 * 30.4375, 0) * (3+0.5)/50)</f>
        <v>0</v>
      </c>
      <c r="K6" s="4">
        <f>VLOOKUP(J6, '1_Rate_Changes'!$A$2:$C$100, 3, TRUE)</f>
        <v>0</v>
      </c>
    </row>
    <row r="7" spans="1:11">
      <c r="A7" s="1" t="s">
        <v>36</v>
      </c>
      <c r="B7" s="1"/>
      <c r="G7">
        <v>0</v>
      </c>
      <c r="H7">
        <v>4</v>
      </c>
      <c r="I7" s="2">
        <f>INT(DATE($B$3,1,1) + (0+0.5)*365/50)</f>
        <v>0</v>
      </c>
      <c r="J7" s="2">
        <f>I7 - INT(ROUND($B$4 * 30.4375, 0) * (4+0.5)/50)</f>
        <v>0</v>
      </c>
      <c r="K7" s="4">
        <f>VLOOKUP(J7, '1_Rate_Changes'!$A$2:$C$100, 3, TRUE)</f>
        <v>0</v>
      </c>
    </row>
    <row r="8" spans="1:11">
      <c r="A8" s="5" t="s">
        <v>37</v>
      </c>
      <c r="B8" s="2">
        <f>DATE(B3, 7, 1)</f>
        <v>0</v>
      </c>
      <c r="G8">
        <v>0</v>
      </c>
      <c r="H8">
        <v>5</v>
      </c>
      <c r="I8" s="2">
        <f>INT(DATE($B$3,1,1) + (0+0.5)*365/50)</f>
        <v>0</v>
      </c>
      <c r="J8" s="2">
        <f>I8 - INT(ROUND($B$4 * 30.4375, 0) * (5+0.5)/50)</f>
        <v>0</v>
      </c>
      <c r="K8" s="4">
        <f>VLOOKUP(J8, '1_Rate_Changes'!$A$2:$C$100, 3, TRUE)</f>
        <v>0</v>
      </c>
    </row>
    <row r="9" spans="1:11">
      <c r="A9" s="5" t="s">
        <v>18</v>
      </c>
      <c r="B9" s="4">
        <f>VLOOKUP(B8, '1_Rate_Changes'!$A$2:$C$100, 3, TRUE)</f>
        <v>0</v>
      </c>
      <c r="G9">
        <v>0</v>
      </c>
      <c r="H9">
        <v>6</v>
      </c>
      <c r="I9" s="2">
        <f>INT(DATE($B$3,1,1) + (0+0.5)*365/50)</f>
        <v>0</v>
      </c>
      <c r="J9" s="2">
        <f>I9 - INT(ROUND($B$4 * 30.4375, 0) * (6+0.5)/50)</f>
        <v>0</v>
      </c>
      <c r="K9" s="4">
        <f>VLOOKUP(J9, '1_Rate_Changes'!$A$2:$C$100, 3, TRUE)</f>
        <v>0</v>
      </c>
    </row>
    <row r="10" spans="1:11">
      <c r="A10" s="5" t="s">
        <v>38</v>
      </c>
      <c r="B10" s="4">
        <f>B5/B9</f>
        <v>0</v>
      </c>
      <c r="G10">
        <v>0</v>
      </c>
      <c r="H10">
        <v>7</v>
      </c>
      <c r="I10" s="2">
        <f>INT(DATE($B$3,1,1) + (0+0.5)*365/50)</f>
        <v>0</v>
      </c>
      <c r="J10" s="2">
        <f>I10 - INT(ROUND($B$4 * 30.4375, 0) * (7+0.5)/50)</f>
        <v>0</v>
      </c>
      <c r="K10" s="4">
        <f>VLOOKUP(J10, '1_Rate_Changes'!$A$2:$C$100, 3, TRUE)</f>
        <v>0</v>
      </c>
    </row>
    <row r="11" spans="1:11">
      <c r="G11">
        <v>0</v>
      </c>
      <c r="H11">
        <v>8</v>
      </c>
      <c r="I11" s="2">
        <f>INT(DATE($B$3,1,1) + (0+0.5)*365/50)</f>
        <v>0</v>
      </c>
      <c r="J11" s="2">
        <f>I11 - INT(ROUND($B$4 * 30.4375, 0) * (8+0.5)/50)</f>
        <v>0</v>
      </c>
      <c r="K11" s="4">
        <f>VLOOKUP(J11, '1_Rate_Changes'!$A$2:$C$100, 3, TRUE)</f>
        <v>0</v>
      </c>
    </row>
    <row r="12" spans="1:11">
      <c r="A12" s="1" t="s">
        <v>39</v>
      </c>
      <c r="B12" s="1"/>
      <c r="G12">
        <v>0</v>
      </c>
      <c r="H12">
        <v>9</v>
      </c>
      <c r="I12" s="2">
        <f>INT(DATE($B$3,1,1) + (0+0.5)*365/50)</f>
        <v>0</v>
      </c>
      <c r="J12" s="2">
        <f>I12 - INT(ROUND($B$4 * 30.4375, 0) * (9+0.5)/50)</f>
        <v>0</v>
      </c>
      <c r="K12" s="4">
        <f>VLOOKUP(J12, '1_Rate_Changes'!$A$2:$C$100, 3, TRUE)</f>
        <v>0</v>
      </c>
    </row>
    <row r="13" spans="1:11">
      <c r="A13" s="1" t="s">
        <v>40</v>
      </c>
      <c r="B13" s="1" t="s">
        <v>41</v>
      </c>
      <c r="C13" s="1" t="s">
        <v>42</v>
      </c>
      <c r="D13" s="1" t="s">
        <v>18</v>
      </c>
      <c r="E13" s="1" t="s">
        <v>43</v>
      </c>
      <c r="G13">
        <v>0</v>
      </c>
      <c r="H13">
        <v>10</v>
      </c>
      <c r="I13" s="2">
        <f>INT(DATE($B$3,1,1) + (0+0.5)*365/50)</f>
        <v>0</v>
      </c>
      <c r="J13" s="2">
        <f>I13 - INT(ROUND($B$4 * 30.4375, 0) * (10+0.5)/50)</f>
        <v>0</v>
      </c>
      <c r="K13" s="4">
        <f>VLOOKUP(J13, '1_Rate_Changes'!$A$2:$C$100, 3, TRUE)</f>
        <v>0</v>
      </c>
    </row>
    <row r="14" spans="1:11">
      <c r="A14">
        <v>1</v>
      </c>
      <c r="B14" s="2">
        <f>DATE($B$3 + INT((1-1)/12), MOD(1-1, 12) + 1, 15)</f>
        <v>0</v>
      </c>
      <c r="C14" s="2">
        <f>EDATE(B14, -(INT($B$4/2)))</f>
        <v>0</v>
      </c>
      <c r="D14" s="4">
        <f>VLOOKUP(C14, '1_Rate_Changes'!$A$2:$C$100, 3, TRUE)</f>
        <v>0</v>
      </c>
      <c r="E14">
        <f>IF(1&lt;=$B$4, 1, (2*$B$4)-1+1)</f>
        <v>0</v>
      </c>
      <c r="G14">
        <v>0</v>
      </c>
      <c r="H14">
        <v>11</v>
      </c>
      <c r="I14" s="2">
        <f>INT(DATE($B$3,1,1) + (0+0.5)*365/50)</f>
        <v>0</v>
      </c>
      <c r="J14" s="2">
        <f>I14 - INT(ROUND($B$4 * 30.4375, 0) * (11+0.5)/50)</f>
        <v>0</v>
      </c>
      <c r="K14" s="4">
        <f>VLOOKUP(J14, '1_Rate_Changes'!$A$2:$C$100, 3, TRUE)</f>
        <v>0</v>
      </c>
    </row>
    <row r="15" spans="1:11">
      <c r="A15">
        <v>2</v>
      </c>
      <c r="B15" s="2">
        <f>DATE($B$3 + INT((2-1)/12), MOD(2-1, 12) + 1, 15)</f>
        <v>0</v>
      </c>
      <c r="C15" s="2">
        <f>EDATE(B15, -(INT($B$4/2)))</f>
        <v>0</v>
      </c>
      <c r="D15" s="4">
        <f>VLOOKUP(C15, '1_Rate_Changes'!$A$2:$C$100, 3, TRUE)</f>
        <v>0</v>
      </c>
      <c r="E15">
        <f>IF(2&lt;=$B$4, 2, (2*$B$4)-2+1)</f>
        <v>0</v>
      </c>
      <c r="G15">
        <v>0</v>
      </c>
      <c r="H15">
        <v>12</v>
      </c>
      <c r="I15" s="2">
        <f>INT(DATE($B$3,1,1) + (0+0.5)*365/50)</f>
        <v>0</v>
      </c>
      <c r="J15" s="2">
        <f>I15 - INT(ROUND($B$4 * 30.4375, 0) * (12+0.5)/50)</f>
        <v>0</v>
      </c>
      <c r="K15" s="4">
        <f>VLOOKUP(J15, '1_Rate_Changes'!$A$2:$C$100, 3, TRUE)</f>
        <v>0</v>
      </c>
    </row>
    <row r="16" spans="1:11">
      <c r="A16">
        <v>3</v>
      </c>
      <c r="B16" s="2">
        <f>DATE($B$3 + INT((3-1)/12), MOD(3-1, 12) + 1, 15)</f>
        <v>0</v>
      </c>
      <c r="C16" s="2">
        <f>EDATE(B16, -(INT($B$4/2)))</f>
        <v>0</v>
      </c>
      <c r="D16" s="4">
        <f>VLOOKUP(C16, '1_Rate_Changes'!$A$2:$C$100, 3, TRUE)</f>
        <v>0</v>
      </c>
      <c r="E16">
        <f>IF(3&lt;=$B$4, 3, (2*$B$4)-3+1)</f>
        <v>0</v>
      </c>
      <c r="G16">
        <v>0</v>
      </c>
      <c r="H16">
        <v>13</v>
      </c>
      <c r="I16" s="2">
        <f>INT(DATE($B$3,1,1) + (0+0.5)*365/50)</f>
        <v>0</v>
      </c>
      <c r="J16" s="2">
        <f>I16 - INT(ROUND($B$4 * 30.4375, 0) * (13+0.5)/50)</f>
        <v>0</v>
      </c>
      <c r="K16" s="4">
        <f>VLOOKUP(J16, '1_Rate_Changes'!$A$2:$C$100, 3, TRUE)</f>
        <v>0</v>
      </c>
    </row>
    <row r="17" spans="1:11">
      <c r="A17">
        <v>4</v>
      </c>
      <c r="B17" s="2">
        <f>DATE($B$3 + INT((4-1)/12), MOD(4-1, 12) + 1, 15)</f>
        <v>0</v>
      </c>
      <c r="C17" s="2">
        <f>EDATE(B17, -(INT($B$4/2)))</f>
        <v>0</v>
      </c>
      <c r="D17" s="4">
        <f>VLOOKUP(C17, '1_Rate_Changes'!$A$2:$C$100, 3, TRUE)</f>
        <v>0</v>
      </c>
      <c r="E17">
        <f>IF(4&lt;=$B$4, 4, (2*$B$4)-4+1)</f>
        <v>0</v>
      </c>
      <c r="G17">
        <v>0</v>
      </c>
      <c r="H17">
        <v>14</v>
      </c>
      <c r="I17" s="2">
        <f>INT(DATE($B$3,1,1) + (0+0.5)*365/50)</f>
        <v>0</v>
      </c>
      <c r="J17" s="2">
        <f>I17 - INT(ROUND($B$4 * 30.4375, 0) * (14+0.5)/50)</f>
        <v>0</v>
      </c>
      <c r="K17" s="4">
        <f>VLOOKUP(J17, '1_Rate_Changes'!$A$2:$C$100, 3, TRUE)</f>
        <v>0</v>
      </c>
    </row>
    <row r="18" spans="1:11">
      <c r="A18">
        <v>5</v>
      </c>
      <c r="B18" s="2">
        <f>DATE($B$3 + INT((5-1)/12), MOD(5-1, 12) + 1, 15)</f>
        <v>0</v>
      </c>
      <c r="C18" s="2">
        <f>EDATE(B18, -(INT($B$4/2)))</f>
        <v>0</v>
      </c>
      <c r="D18" s="4">
        <f>VLOOKUP(C18, '1_Rate_Changes'!$A$2:$C$100, 3, TRUE)</f>
        <v>0</v>
      </c>
      <c r="E18">
        <f>IF(5&lt;=$B$4, 5, (2*$B$4)-5+1)</f>
        <v>0</v>
      </c>
      <c r="G18">
        <v>0</v>
      </c>
      <c r="H18">
        <v>15</v>
      </c>
      <c r="I18" s="2">
        <f>INT(DATE($B$3,1,1) + (0+0.5)*365/50)</f>
        <v>0</v>
      </c>
      <c r="J18" s="2">
        <f>I18 - INT(ROUND($B$4 * 30.4375, 0) * (15+0.5)/50)</f>
        <v>0</v>
      </c>
      <c r="K18" s="4">
        <f>VLOOKUP(J18, '1_Rate_Changes'!$A$2:$C$100, 3, TRUE)</f>
        <v>0</v>
      </c>
    </row>
    <row r="19" spans="1:11">
      <c r="A19">
        <v>6</v>
      </c>
      <c r="B19" s="2">
        <f>DATE($B$3 + INT((6-1)/12), MOD(6-1, 12) + 1, 15)</f>
        <v>0</v>
      </c>
      <c r="C19" s="2">
        <f>EDATE(B19, -(INT($B$4/2)))</f>
        <v>0</v>
      </c>
      <c r="D19" s="4">
        <f>VLOOKUP(C19, '1_Rate_Changes'!$A$2:$C$100, 3, TRUE)</f>
        <v>0</v>
      </c>
      <c r="E19">
        <f>IF(6&lt;=$B$4, 6, (2*$B$4)-6+1)</f>
        <v>0</v>
      </c>
      <c r="G19">
        <v>0</v>
      </c>
      <c r="H19">
        <v>16</v>
      </c>
      <c r="I19" s="2">
        <f>INT(DATE($B$3,1,1) + (0+0.5)*365/50)</f>
        <v>0</v>
      </c>
      <c r="J19" s="2">
        <f>I19 - INT(ROUND($B$4 * 30.4375, 0) * (16+0.5)/50)</f>
        <v>0</v>
      </c>
      <c r="K19" s="4">
        <f>VLOOKUP(J19, '1_Rate_Changes'!$A$2:$C$100, 3, TRUE)</f>
        <v>0</v>
      </c>
    </row>
    <row r="20" spans="1:11">
      <c r="A20">
        <v>7</v>
      </c>
      <c r="B20" s="2">
        <f>DATE($B$3 + INT((7-1)/12), MOD(7-1, 12) + 1, 15)</f>
        <v>0</v>
      </c>
      <c r="C20" s="2">
        <f>EDATE(B20, -(INT($B$4/2)))</f>
        <v>0</v>
      </c>
      <c r="D20" s="4">
        <f>VLOOKUP(C20, '1_Rate_Changes'!$A$2:$C$100, 3, TRUE)</f>
        <v>0</v>
      </c>
      <c r="E20">
        <f>IF(7&lt;=$B$4, 7, (2*$B$4)-7+1)</f>
        <v>0</v>
      </c>
      <c r="G20">
        <v>0</v>
      </c>
      <c r="H20">
        <v>17</v>
      </c>
      <c r="I20" s="2">
        <f>INT(DATE($B$3,1,1) + (0+0.5)*365/50)</f>
        <v>0</v>
      </c>
      <c r="J20" s="2">
        <f>I20 - INT(ROUND($B$4 * 30.4375, 0) * (17+0.5)/50)</f>
        <v>0</v>
      </c>
      <c r="K20" s="4">
        <f>VLOOKUP(J20, '1_Rate_Changes'!$A$2:$C$100, 3, TRUE)</f>
        <v>0</v>
      </c>
    </row>
    <row r="21" spans="1:11">
      <c r="A21">
        <v>8</v>
      </c>
      <c r="B21" s="2">
        <f>DATE($B$3 + INT((8-1)/12), MOD(8-1, 12) + 1, 15)</f>
        <v>0</v>
      </c>
      <c r="C21" s="2">
        <f>EDATE(B21, -(INT($B$4/2)))</f>
        <v>0</v>
      </c>
      <c r="D21" s="4">
        <f>VLOOKUP(C21, '1_Rate_Changes'!$A$2:$C$100, 3, TRUE)</f>
        <v>0</v>
      </c>
      <c r="E21">
        <f>IF(8&lt;=$B$4, 8, (2*$B$4)-8+1)</f>
        <v>0</v>
      </c>
      <c r="G21">
        <v>0</v>
      </c>
      <c r="H21">
        <v>18</v>
      </c>
      <c r="I21" s="2">
        <f>INT(DATE($B$3,1,1) + (0+0.5)*365/50)</f>
        <v>0</v>
      </c>
      <c r="J21" s="2">
        <f>I21 - INT(ROUND($B$4 * 30.4375, 0) * (18+0.5)/50)</f>
        <v>0</v>
      </c>
      <c r="K21" s="4">
        <f>VLOOKUP(J21, '1_Rate_Changes'!$A$2:$C$100, 3, TRUE)</f>
        <v>0</v>
      </c>
    </row>
    <row r="22" spans="1:11">
      <c r="A22">
        <v>9</v>
      </c>
      <c r="B22" s="2">
        <f>DATE($B$3 + INT((9-1)/12), MOD(9-1, 12) + 1, 15)</f>
        <v>0</v>
      </c>
      <c r="C22" s="2">
        <f>EDATE(B22, -(INT($B$4/2)))</f>
        <v>0</v>
      </c>
      <c r="D22" s="4">
        <f>VLOOKUP(C22, '1_Rate_Changes'!$A$2:$C$100, 3, TRUE)</f>
        <v>0</v>
      </c>
      <c r="E22">
        <f>IF(9&lt;=$B$4, 9, (2*$B$4)-9+1)</f>
        <v>0</v>
      </c>
      <c r="G22">
        <v>0</v>
      </c>
      <c r="H22">
        <v>19</v>
      </c>
      <c r="I22" s="2">
        <f>INT(DATE($B$3,1,1) + (0+0.5)*365/50)</f>
        <v>0</v>
      </c>
      <c r="J22" s="2">
        <f>I22 - INT(ROUND($B$4 * 30.4375, 0) * (19+0.5)/50)</f>
        <v>0</v>
      </c>
      <c r="K22" s="4">
        <f>VLOOKUP(J22, '1_Rate_Changes'!$A$2:$C$100, 3, TRUE)</f>
        <v>0</v>
      </c>
    </row>
    <row r="23" spans="1:11">
      <c r="A23">
        <v>10</v>
      </c>
      <c r="B23" s="2">
        <f>DATE($B$3 + INT((10-1)/12), MOD(10-1, 12) + 1, 15)</f>
        <v>0</v>
      </c>
      <c r="C23" s="2">
        <f>EDATE(B23, -(INT($B$4/2)))</f>
        <v>0</v>
      </c>
      <c r="D23" s="4">
        <f>VLOOKUP(C23, '1_Rate_Changes'!$A$2:$C$100, 3, TRUE)</f>
        <v>0</v>
      </c>
      <c r="E23">
        <f>IF(10&lt;=$B$4, 10, (2*$B$4)-10+1)</f>
        <v>0</v>
      </c>
      <c r="G23">
        <v>0</v>
      </c>
      <c r="H23">
        <v>20</v>
      </c>
      <c r="I23" s="2">
        <f>INT(DATE($B$3,1,1) + (0+0.5)*365/50)</f>
        <v>0</v>
      </c>
      <c r="J23" s="2">
        <f>I23 - INT(ROUND($B$4 * 30.4375, 0) * (20+0.5)/50)</f>
        <v>0</v>
      </c>
      <c r="K23" s="4">
        <f>VLOOKUP(J23, '1_Rate_Changes'!$A$2:$C$100, 3, TRUE)</f>
        <v>0</v>
      </c>
    </row>
    <row r="24" spans="1:11">
      <c r="A24">
        <v>11</v>
      </c>
      <c r="B24" s="2">
        <f>DATE($B$3 + INT((11-1)/12), MOD(11-1, 12) + 1, 15)</f>
        <v>0</v>
      </c>
      <c r="C24" s="2">
        <f>EDATE(B24, -(INT($B$4/2)))</f>
        <v>0</v>
      </c>
      <c r="D24" s="4">
        <f>VLOOKUP(C24, '1_Rate_Changes'!$A$2:$C$100, 3, TRUE)</f>
        <v>0</v>
      </c>
      <c r="E24">
        <f>IF(11&lt;=$B$4, 11, (2*$B$4)-11+1)</f>
        <v>0</v>
      </c>
      <c r="G24">
        <v>0</v>
      </c>
      <c r="H24">
        <v>21</v>
      </c>
      <c r="I24" s="2">
        <f>INT(DATE($B$3,1,1) + (0+0.5)*365/50)</f>
        <v>0</v>
      </c>
      <c r="J24" s="2">
        <f>I24 - INT(ROUND($B$4 * 30.4375, 0) * (21+0.5)/50)</f>
        <v>0</v>
      </c>
      <c r="K24" s="4">
        <f>VLOOKUP(J24, '1_Rate_Changes'!$A$2:$C$100, 3, TRUE)</f>
        <v>0</v>
      </c>
    </row>
    <row r="25" spans="1:11">
      <c r="A25">
        <v>12</v>
      </c>
      <c r="B25" s="2">
        <f>DATE($B$3 + INT((12-1)/12), MOD(12-1, 12) + 1, 15)</f>
        <v>0</v>
      </c>
      <c r="C25" s="2">
        <f>EDATE(B25, -(INT($B$4/2)))</f>
        <v>0</v>
      </c>
      <c r="D25" s="4">
        <f>VLOOKUP(C25, '1_Rate_Changes'!$A$2:$C$100, 3, TRUE)</f>
        <v>0</v>
      </c>
      <c r="E25">
        <f>IF(12&lt;=$B$4, 12, (2*$B$4)-12+1)</f>
        <v>0</v>
      </c>
      <c r="G25">
        <v>0</v>
      </c>
      <c r="H25">
        <v>22</v>
      </c>
      <c r="I25" s="2">
        <f>INT(DATE($B$3,1,1) + (0+0.5)*365/50)</f>
        <v>0</v>
      </c>
      <c r="J25" s="2">
        <f>I25 - INT(ROUND($B$4 * 30.4375, 0) * (22+0.5)/50)</f>
        <v>0</v>
      </c>
      <c r="K25" s="4">
        <f>VLOOKUP(J25, '1_Rate_Changes'!$A$2:$C$100, 3, TRUE)</f>
        <v>0</v>
      </c>
    </row>
    <row r="26" spans="1:11">
      <c r="A26">
        <v>13</v>
      </c>
      <c r="B26" s="2">
        <f>DATE($B$3 + INT((13-1)/12), MOD(13-1, 12) + 1, 15)</f>
        <v>0</v>
      </c>
      <c r="C26" s="2">
        <f>EDATE(B26, -(INT($B$4/2)))</f>
        <v>0</v>
      </c>
      <c r="D26" s="4">
        <f>VLOOKUP(C26, '1_Rate_Changes'!$A$2:$C$100, 3, TRUE)</f>
        <v>0</v>
      </c>
      <c r="E26">
        <f>IF(13&lt;=$B$4, 13, (2*$B$4)-13+1)</f>
        <v>0</v>
      </c>
      <c r="G26">
        <v>0</v>
      </c>
      <c r="H26">
        <v>23</v>
      </c>
      <c r="I26" s="2">
        <f>INT(DATE($B$3,1,1) + (0+0.5)*365/50)</f>
        <v>0</v>
      </c>
      <c r="J26" s="2">
        <f>I26 - INT(ROUND($B$4 * 30.4375, 0) * (23+0.5)/50)</f>
        <v>0</v>
      </c>
      <c r="K26" s="4">
        <f>VLOOKUP(J26, '1_Rate_Changes'!$A$2:$C$100, 3, TRUE)</f>
        <v>0</v>
      </c>
    </row>
    <row r="27" spans="1:11">
      <c r="A27">
        <v>14</v>
      </c>
      <c r="B27" s="2">
        <f>DATE($B$3 + INT((14-1)/12), MOD(14-1, 12) + 1, 15)</f>
        <v>0</v>
      </c>
      <c r="C27" s="2">
        <f>EDATE(B27, -(INT($B$4/2)))</f>
        <v>0</v>
      </c>
      <c r="D27" s="4">
        <f>VLOOKUP(C27, '1_Rate_Changes'!$A$2:$C$100, 3, TRUE)</f>
        <v>0</v>
      </c>
      <c r="E27">
        <f>IF(14&lt;=$B$4, 14, (2*$B$4)-14+1)</f>
        <v>0</v>
      </c>
      <c r="G27">
        <v>0</v>
      </c>
      <c r="H27">
        <v>24</v>
      </c>
      <c r="I27" s="2">
        <f>INT(DATE($B$3,1,1) + (0+0.5)*365/50)</f>
        <v>0</v>
      </c>
      <c r="J27" s="2">
        <f>I27 - INT(ROUND($B$4 * 30.4375, 0) * (24+0.5)/50)</f>
        <v>0</v>
      </c>
      <c r="K27" s="4">
        <f>VLOOKUP(J27, '1_Rate_Changes'!$A$2:$C$100, 3, TRUE)</f>
        <v>0</v>
      </c>
    </row>
    <row r="28" spans="1:11">
      <c r="A28">
        <v>15</v>
      </c>
      <c r="B28" s="2">
        <f>DATE($B$3 + INT((15-1)/12), MOD(15-1, 12) + 1, 15)</f>
        <v>0</v>
      </c>
      <c r="C28" s="2">
        <f>EDATE(B28, -(INT($B$4/2)))</f>
        <v>0</v>
      </c>
      <c r="D28" s="4">
        <f>VLOOKUP(C28, '1_Rate_Changes'!$A$2:$C$100, 3, TRUE)</f>
        <v>0</v>
      </c>
      <c r="E28">
        <f>IF(15&lt;=$B$4, 15, (2*$B$4)-15+1)</f>
        <v>0</v>
      </c>
      <c r="G28">
        <v>0</v>
      </c>
      <c r="H28">
        <v>25</v>
      </c>
      <c r="I28" s="2">
        <f>INT(DATE($B$3,1,1) + (0+0.5)*365/50)</f>
        <v>0</v>
      </c>
      <c r="J28" s="2">
        <f>I28 - INT(ROUND($B$4 * 30.4375, 0) * (25+0.5)/50)</f>
        <v>0</v>
      </c>
      <c r="K28" s="4">
        <f>VLOOKUP(J28, '1_Rate_Changes'!$A$2:$C$100, 3, TRUE)</f>
        <v>0</v>
      </c>
    </row>
    <row r="29" spans="1:11">
      <c r="A29">
        <v>16</v>
      </c>
      <c r="B29" s="2">
        <f>DATE($B$3 + INT((16-1)/12), MOD(16-1, 12) + 1, 15)</f>
        <v>0</v>
      </c>
      <c r="C29" s="2">
        <f>EDATE(B29, -(INT($B$4/2)))</f>
        <v>0</v>
      </c>
      <c r="D29" s="4">
        <f>VLOOKUP(C29, '1_Rate_Changes'!$A$2:$C$100, 3, TRUE)</f>
        <v>0</v>
      </c>
      <c r="E29">
        <f>IF(16&lt;=$B$4, 16, (2*$B$4)-16+1)</f>
        <v>0</v>
      </c>
      <c r="G29">
        <v>0</v>
      </c>
      <c r="H29">
        <v>26</v>
      </c>
      <c r="I29" s="2">
        <f>INT(DATE($B$3,1,1) + (0+0.5)*365/50)</f>
        <v>0</v>
      </c>
      <c r="J29" s="2">
        <f>I29 - INT(ROUND($B$4 * 30.4375, 0) * (26+0.5)/50)</f>
        <v>0</v>
      </c>
      <c r="K29" s="4">
        <f>VLOOKUP(J29, '1_Rate_Changes'!$A$2:$C$100, 3, TRUE)</f>
        <v>0</v>
      </c>
    </row>
    <row r="30" spans="1:11">
      <c r="A30">
        <v>17</v>
      </c>
      <c r="B30" s="2">
        <f>DATE($B$3 + INT((17-1)/12), MOD(17-1, 12) + 1, 15)</f>
        <v>0</v>
      </c>
      <c r="C30" s="2">
        <f>EDATE(B30, -(INT($B$4/2)))</f>
        <v>0</v>
      </c>
      <c r="D30" s="4">
        <f>VLOOKUP(C30, '1_Rate_Changes'!$A$2:$C$100, 3, TRUE)</f>
        <v>0</v>
      </c>
      <c r="E30">
        <f>IF(17&lt;=$B$4, 17, (2*$B$4)-17+1)</f>
        <v>0</v>
      </c>
      <c r="G30">
        <v>0</v>
      </c>
      <c r="H30">
        <v>27</v>
      </c>
      <c r="I30" s="2">
        <f>INT(DATE($B$3,1,1) + (0+0.5)*365/50)</f>
        <v>0</v>
      </c>
      <c r="J30" s="2">
        <f>I30 - INT(ROUND($B$4 * 30.4375, 0) * (27+0.5)/50)</f>
        <v>0</v>
      </c>
      <c r="K30" s="4">
        <f>VLOOKUP(J30, '1_Rate_Changes'!$A$2:$C$100, 3, TRUE)</f>
        <v>0</v>
      </c>
    </row>
    <row r="31" spans="1:11">
      <c r="A31">
        <v>18</v>
      </c>
      <c r="B31" s="2">
        <f>DATE($B$3 + INT((18-1)/12), MOD(18-1, 12) + 1, 15)</f>
        <v>0</v>
      </c>
      <c r="C31" s="2">
        <f>EDATE(B31, -(INT($B$4/2)))</f>
        <v>0</v>
      </c>
      <c r="D31" s="4">
        <f>VLOOKUP(C31, '1_Rate_Changes'!$A$2:$C$100, 3, TRUE)</f>
        <v>0</v>
      </c>
      <c r="E31">
        <f>IF(18&lt;=$B$4, 18, (2*$B$4)-18+1)</f>
        <v>0</v>
      </c>
      <c r="G31">
        <v>0</v>
      </c>
      <c r="H31">
        <v>28</v>
      </c>
      <c r="I31" s="2">
        <f>INT(DATE($B$3,1,1) + (0+0.5)*365/50)</f>
        <v>0</v>
      </c>
      <c r="J31" s="2">
        <f>I31 - INT(ROUND($B$4 * 30.4375, 0) * (28+0.5)/50)</f>
        <v>0</v>
      </c>
      <c r="K31" s="4">
        <f>VLOOKUP(J31, '1_Rate_Changes'!$A$2:$C$100, 3, TRUE)</f>
        <v>0</v>
      </c>
    </row>
    <row r="32" spans="1:11">
      <c r="A32">
        <v>19</v>
      </c>
      <c r="B32" s="2">
        <f>DATE($B$3 + INT((19-1)/12), MOD(19-1, 12) + 1, 15)</f>
        <v>0</v>
      </c>
      <c r="C32" s="2">
        <f>EDATE(B32, -(INT($B$4/2)))</f>
        <v>0</v>
      </c>
      <c r="D32" s="4">
        <f>VLOOKUP(C32, '1_Rate_Changes'!$A$2:$C$100, 3, TRUE)</f>
        <v>0</v>
      </c>
      <c r="E32">
        <f>IF(19&lt;=$B$4, 19, (2*$B$4)-19+1)</f>
        <v>0</v>
      </c>
      <c r="G32">
        <v>0</v>
      </c>
      <c r="H32">
        <v>29</v>
      </c>
      <c r="I32" s="2">
        <f>INT(DATE($B$3,1,1) + (0+0.5)*365/50)</f>
        <v>0</v>
      </c>
      <c r="J32" s="2">
        <f>I32 - INT(ROUND($B$4 * 30.4375, 0) * (29+0.5)/50)</f>
        <v>0</v>
      </c>
      <c r="K32" s="4">
        <f>VLOOKUP(J32, '1_Rate_Changes'!$A$2:$C$100, 3, TRUE)</f>
        <v>0</v>
      </c>
    </row>
    <row r="33" spans="1:11">
      <c r="A33">
        <v>20</v>
      </c>
      <c r="B33" s="2">
        <f>DATE($B$3 + INT((20-1)/12), MOD(20-1, 12) + 1, 15)</f>
        <v>0</v>
      </c>
      <c r="C33" s="2">
        <f>EDATE(B33, -(INT($B$4/2)))</f>
        <v>0</v>
      </c>
      <c r="D33" s="4">
        <f>VLOOKUP(C33, '1_Rate_Changes'!$A$2:$C$100, 3, TRUE)</f>
        <v>0</v>
      </c>
      <c r="E33">
        <f>IF(20&lt;=$B$4, 20, (2*$B$4)-20+1)</f>
        <v>0</v>
      </c>
      <c r="G33">
        <v>0</v>
      </c>
      <c r="H33">
        <v>30</v>
      </c>
      <c r="I33" s="2">
        <f>INT(DATE($B$3,1,1) + (0+0.5)*365/50)</f>
        <v>0</v>
      </c>
      <c r="J33" s="2">
        <f>I33 - INT(ROUND($B$4 * 30.4375, 0) * (30+0.5)/50)</f>
        <v>0</v>
      </c>
      <c r="K33" s="4">
        <f>VLOOKUP(J33, '1_Rate_Changes'!$A$2:$C$100, 3, TRUE)</f>
        <v>0</v>
      </c>
    </row>
    <row r="34" spans="1:11">
      <c r="A34">
        <v>21</v>
      </c>
      <c r="B34" s="2">
        <f>DATE($B$3 + INT((21-1)/12), MOD(21-1, 12) + 1, 15)</f>
        <v>0</v>
      </c>
      <c r="C34" s="2">
        <f>EDATE(B34, -(INT($B$4/2)))</f>
        <v>0</v>
      </c>
      <c r="D34" s="4">
        <f>VLOOKUP(C34, '1_Rate_Changes'!$A$2:$C$100, 3, TRUE)</f>
        <v>0</v>
      </c>
      <c r="E34">
        <f>IF(21&lt;=$B$4, 21, (2*$B$4)-21+1)</f>
        <v>0</v>
      </c>
      <c r="G34">
        <v>0</v>
      </c>
      <c r="H34">
        <v>31</v>
      </c>
      <c r="I34" s="2">
        <f>INT(DATE($B$3,1,1) + (0+0.5)*365/50)</f>
        <v>0</v>
      </c>
      <c r="J34" s="2">
        <f>I34 - INT(ROUND($B$4 * 30.4375, 0) * (31+0.5)/50)</f>
        <v>0</v>
      </c>
      <c r="K34" s="4">
        <f>VLOOKUP(J34, '1_Rate_Changes'!$A$2:$C$100, 3, TRUE)</f>
        <v>0</v>
      </c>
    </row>
    <row r="35" spans="1:11">
      <c r="A35">
        <v>22</v>
      </c>
      <c r="B35" s="2">
        <f>DATE($B$3 + INT((22-1)/12), MOD(22-1, 12) + 1, 15)</f>
        <v>0</v>
      </c>
      <c r="C35" s="2">
        <f>EDATE(B35, -(INT($B$4/2)))</f>
        <v>0</v>
      </c>
      <c r="D35" s="4">
        <f>VLOOKUP(C35, '1_Rate_Changes'!$A$2:$C$100, 3, TRUE)</f>
        <v>0</v>
      </c>
      <c r="E35">
        <f>IF(22&lt;=$B$4, 22, (2*$B$4)-22+1)</f>
        <v>0</v>
      </c>
      <c r="G35">
        <v>0</v>
      </c>
      <c r="H35">
        <v>32</v>
      </c>
      <c r="I35" s="2">
        <f>INT(DATE($B$3,1,1) + (0+0.5)*365/50)</f>
        <v>0</v>
      </c>
      <c r="J35" s="2">
        <f>I35 - INT(ROUND($B$4 * 30.4375, 0) * (32+0.5)/50)</f>
        <v>0</v>
      </c>
      <c r="K35" s="4">
        <f>VLOOKUP(J35, '1_Rate_Changes'!$A$2:$C$100, 3, TRUE)</f>
        <v>0</v>
      </c>
    </row>
    <row r="36" spans="1:11">
      <c r="A36">
        <v>23</v>
      </c>
      <c r="B36" s="2">
        <f>DATE($B$3 + INT((23-1)/12), MOD(23-1, 12) + 1, 15)</f>
        <v>0</v>
      </c>
      <c r="C36" s="2">
        <f>EDATE(B36, -(INT($B$4/2)))</f>
        <v>0</v>
      </c>
      <c r="D36" s="4">
        <f>VLOOKUP(C36, '1_Rate_Changes'!$A$2:$C$100, 3, TRUE)</f>
        <v>0</v>
      </c>
      <c r="E36">
        <f>IF(23&lt;=$B$4, 23, (2*$B$4)-23+1)</f>
        <v>0</v>
      </c>
      <c r="G36">
        <v>0</v>
      </c>
      <c r="H36">
        <v>33</v>
      </c>
      <c r="I36" s="2">
        <f>INT(DATE($B$3,1,1) + (0+0.5)*365/50)</f>
        <v>0</v>
      </c>
      <c r="J36" s="2">
        <f>I36 - INT(ROUND($B$4 * 30.4375, 0) * (33+0.5)/50)</f>
        <v>0</v>
      </c>
      <c r="K36" s="4">
        <f>VLOOKUP(J36, '1_Rate_Changes'!$A$2:$C$100, 3, TRUE)</f>
        <v>0</v>
      </c>
    </row>
    <row r="37" spans="1:11">
      <c r="A37">
        <v>24</v>
      </c>
      <c r="B37" s="2">
        <f>DATE($B$3 + INT((24-1)/12), MOD(24-1, 12) + 1, 15)</f>
        <v>0</v>
      </c>
      <c r="C37" s="2">
        <f>EDATE(B37, -(INT($B$4/2)))</f>
        <v>0</v>
      </c>
      <c r="D37" s="4">
        <f>VLOOKUP(C37, '1_Rate_Changes'!$A$2:$C$100, 3, TRUE)</f>
        <v>0</v>
      </c>
      <c r="E37">
        <f>IF(24&lt;=$B$4, 24, (2*$B$4)-24+1)</f>
        <v>0</v>
      </c>
      <c r="G37">
        <v>0</v>
      </c>
      <c r="H37">
        <v>34</v>
      </c>
      <c r="I37" s="2">
        <f>INT(DATE($B$3,1,1) + (0+0.5)*365/50)</f>
        <v>0</v>
      </c>
      <c r="J37" s="2">
        <f>I37 - INT(ROUND($B$4 * 30.4375, 0) * (34+0.5)/50)</f>
        <v>0</v>
      </c>
      <c r="K37" s="4">
        <f>VLOOKUP(J37, '1_Rate_Changes'!$A$2:$C$100, 3, TRUE)</f>
        <v>0</v>
      </c>
    </row>
    <row r="38" spans="1:11">
      <c r="C38" s="5" t="s">
        <v>44</v>
      </c>
      <c r="D38" s="4">
        <f>SUMPRODUCT(D14:D37, E14:E37)</f>
        <v>0</v>
      </c>
      <c r="E38">
        <f>SUM(E14:E37)</f>
        <v>0</v>
      </c>
      <c r="G38">
        <v>0</v>
      </c>
      <c r="H38">
        <v>35</v>
      </c>
      <c r="I38" s="2">
        <f>INT(DATE($B$3,1,1) + (0+0.5)*365/50)</f>
        <v>0</v>
      </c>
      <c r="J38" s="2">
        <f>I38 - INT(ROUND($B$4 * 30.4375, 0) * (35+0.5)/50)</f>
        <v>0</v>
      </c>
      <c r="K38" s="4">
        <f>VLOOKUP(J38, '1_Rate_Changes'!$A$2:$C$100, 3, TRUE)</f>
        <v>0</v>
      </c>
    </row>
    <row r="39" spans="1:11">
      <c r="C39" s="5" t="s">
        <v>45</v>
      </c>
      <c r="D39" s="4">
        <f>D38/E38</f>
        <v>0</v>
      </c>
      <c r="G39">
        <v>0</v>
      </c>
      <c r="H39">
        <v>36</v>
      </c>
      <c r="I39" s="2">
        <f>INT(DATE($B$3,1,1) + (0+0.5)*365/50)</f>
        <v>0</v>
      </c>
      <c r="J39" s="2">
        <f>I39 - INT(ROUND($B$4 * 30.4375, 0) * (36+0.5)/50)</f>
        <v>0</v>
      </c>
      <c r="K39" s="4">
        <f>VLOOKUP(J39, '1_Rate_Changes'!$A$2:$C$100, 3, TRUE)</f>
        <v>0</v>
      </c>
    </row>
    <row r="40" spans="1:11">
      <c r="C40" s="5" t="s">
        <v>46</v>
      </c>
      <c r="D40" s="4">
        <f>$B$5/D39</f>
        <v>0</v>
      </c>
      <c r="G40">
        <v>0</v>
      </c>
      <c r="H40">
        <v>37</v>
      </c>
      <c r="I40" s="2">
        <f>INT(DATE($B$3,1,1) + (0+0.5)*365/50)</f>
        <v>0</v>
      </c>
      <c r="J40" s="2">
        <f>I40 - INT(ROUND($B$4 * 30.4375, 0) * (37+0.5)/50)</f>
        <v>0</v>
      </c>
      <c r="K40" s="4">
        <f>VLOOKUP(J40, '1_Rate_Changes'!$A$2:$C$100, 3, TRUE)</f>
        <v>0</v>
      </c>
    </row>
    <row r="41" spans="1:11">
      <c r="G41">
        <v>0</v>
      </c>
      <c r="H41">
        <v>38</v>
      </c>
      <c r="I41" s="2">
        <f>INT(DATE($B$3,1,1) + (0+0.5)*365/50)</f>
        <v>0</v>
      </c>
      <c r="J41" s="2">
        <f>I41 - INT(ROUND($B$4 * 30.4375, 0) * (38+0.5)/50)</f>
        <v>0</v>
      </c>
      <c r="K41" s="4">
        <f>VLOOKUP(J41, '1_Rate_Changes'!$A$2:$C$100, 3, TRUE)</f>
        <v>0</v>
      </c>
    </row>
    <row r="42" spans="1:11">
      <c r="G42">
        <v>0</v>
      </c>
      <c r="H42">
        <v>39</v>
      </c>
      <c r="I42" s="2">
        <f>INT(DATE($B$3,1,1) + (0+0.5)*365/50)</f>
        <v>0</v>
      </c>
      <c r="J42" s="2">
        <f>I42 - INT(ROUND($B$4 * 30.4375, 0) * (39+0.5)/50)</f>
        <v>0</v>
      </c>
      <c r="K42" s="4">
        <f>VLOOKUP(J42, '1_Rate_Changes'!$A$2:$C$100, 3, TRUE)</f>
        <v>0</v>
      </c>
    </row>
    <row r="43" spans="1:11">
      <c r="G43">
        <v>0</v>
      </c>
      <c r="H43">
        <v>40</v>
      </c>
      <c r="I43" s="2">
        <f>INT(DATE($B$3,1,1) + (0+0.5)*365/50)</f>
        <v>0</v>
      </c>
      <c r="J43" s="2">
        <f>I43 - INT(ROUND($B$4 * 30.4375, 0) * (40+0.5)/50)</f>
        <v>0</v>
      </c>
      <c r="K43" s="4">
        <f>VLOOKUP(J43, '1_Rate_Changes'!$A$2:$C$100, 3, TRUE)</f>
        <v>0</v>
      </c>
    </row>
    <row r="44" spans="1:11">
      <c r="G44">
        <v>0</v>
      </c>
      <c r="H44">
        <v>41</v>
      </c>
      <c r="I44" s="2">
        <f>INT(DATE($B$3,1,1) + (0+0.5)*365/50)</f>
        <v>0</v>
      </c>
      <c r="J44" s="2">
        <f>I44 - INT(ROUND($B$4 * 30.4375, 0) * (41+0.5)/50)</f>
        <v>0</v>
      </c>
      <c r="K44" s="4">
        <f>VLOOKUP(J44, '1_Rate_Changes'!$A$2:$C$100, 3, TRUE)</f>
        <v>0</v>
      </c>
    </row>
    <row r="45" spans="1:11">
      <c r="G45">
        <v>0</v>
      </c>
      <c r="H45">
        <v>42</v>
      </c>
      <c r="I45" s="2">
        <f>INT(DATE($B$3,1,1) + (0+0.5)*365/50)</f>
        <v>0</v>
      </c>
      <c r="J45" s="2">
        <f>I45 - INT(ROUND($B$4 * 30.4375, 0) * (42+0.5)/50)</f>
        <v>0</v>
      </c>
      <c r="K45" s="4">
        <f>VLOOKUP(J45, '1_Rate_Changes'!$A$2:$C$100, 3, TRUE)</f>
        <v>0</v>
      </c>
    </row>
    <row r="46" spans="1:11">
      <c r="G46">
        <v>0</v>
      </c>
      <c r="H46">
        <v>43</v>
      </c>
      <c r="I46" s="2">
        <f>INT(DATE($B$3,1,1) + (0+0.5)*365/50)</f>
        <v>0</v>
      </c>
      <c r="J46" s="2">
        <f>I46 - INT(ROUND($B$4 * 30.4375, 0) * (43+0.5)/50)</f>
        <v>0</v>
      </c>
      <c r="K46" s="4">
        <f>VLOOKUP(J46, '1_Rate_Changes'!$A$2:$C$100, 3, TRUE)</f>
        <v>0</v>
      </c>
    </row>
    <row r="47" spans="1:11">
      <c r="G47">
        <v>0</v>
      </c>
      <c r="H47">
        <v>44</v>
      </c>
      <c r="I47" s="2">
        <f>INT(DATE($B$3,1,1) + (0+0.5)*365/50)</f>
        <v>0</v>
      </c>
      <c r="J47" s="2">
        <f>I47 - INT(ROUND($B$4 * 30.4375, 0) * (44+0.5)/50)</f>
        <v>0</v>
      </c>
      <c r="K47" s="4">
        <f>VLOOKUP(J47, '1_Rate_Changes'!$A$2:$C$100, 3, TRUE)</f>
        <v>0</v>
      </c>
    </row>
    <row r="48" spans="1:11">
      <c r="G48">
        <v>0</v>
      </c>
      <c r="H48">
        <v>45</v>
      </c>
      <c r="I48" s="2">
        <f>INT(DATE($B$3,1,1) + (0+0.5)*365/50)</f>
        <v>0</v>
      </c>
      <c r="J48" s="2">
        <f>I48 - INT(ROUND($B$4 * 30.4375, 0) * (45+0.5)/50)</f>
        <v>0</v>
      </c>
      <c r="K48" s="4">
        <f>VLOOKUP(J48, '1_Rate_Changes'!$A$2:$C$100, 3, TRUE)</f>
        <v>0</v>
      </c>
    </row>
    <row r="49" spans="7:11">
      <c r="G49">
        <v>0</v>
      </c>
      <c r="H49">
        <v>46</v>
      </c>
      <c r="I49" s="2">
        <f>INT(DATE($B$3,1,1) + (0+0.5)*365/50)</f>
        <v>0</v>
      </c>
      <c r="J49" s="2">
        <f>I49 - INT(ROUND($B$4 * 30.4375, 0) * (46+0.5)/50)</f>
        <v>0</v>
      </c>
      <c r="K49" s="4">
        <f>VLOOKUP(J49, '1_Rate_Changes'!$A$2:$C$100, 3, TRUE)</f>
        <v>0</v>
      </c>
    </row>
    <row r="50" spans="7:11">
      <c r="G50">
        <v>0</v>
      </c>
      <c r="H50">
        <v>47</v>
      </c>
      <c r="I50" s="2">
        <f>INT(DATE($B$3,1,1) + (0+0.5)*365/50)</f>
        <v>0</v>
      </c>
      <c r="J50" s="2">
        <f>I50 - INT(ROUND($B$4 * 30.4375, 0) * (47+0.5)/50)</f>
        <v>0</v>
      </c>
      <c r="K50" s="4">
        <f>VLOOKUP(J50, '1_Rate_Changes'!$A$2:$C$100, 3, TRUE)</f>
        <v>0</v>
      </c>
    </row>
    <row r="51" spans="7:11">
      <c r="G51">
        <v>0</v>
      </c>
      <c r="H51">
        <v>48</v>
      </c>
      <c r="I51" s="2">
        <f>INT(DATE($B$3,1,1) + (0+0.5)*365/50)</f>
        <v>0</v>
      </c>
      <c r="J51" s="2">
        <f>I51 - INT(ROUND($B$4 * 30.4375, 0) * (48+0.5)/50)</f>
        <v>0</v>
      </c>
      <c r="K51" s="4">
        <f>VLOOKUP(J51, '1_Rate_Changes'!$A$2:$C$100, 3, TRUE)</f>
        <v>0</v>
      </c>
    </row>
    <row r="52" spans="7:11">
      <c r="G52">
        <v>0</v>
      </c>
      <c r="H52">
        <v>49</v>
      </c>
      <c r="I52" s="2">
        <f>INT(DATE($B$3,1,1) + (0+0.5)*365/50)</f>
        <v>0</v>
      </c>
      <c r="J52" s="2">
        <f>I52 - INT(ROUND($B$4 * 30.4375, 0) * (49+0.5)/50)</f>
        <v>0</v>
      </c>
      <c r="K52" s="4">
        <f>VLOOKUP(J52, '1_Rate_Changes'!$A$2:$C$100, 3, TRUE)</f>
        <v>0</v>
      </c>
    </row>
    <row r="53" spans="7:11">
      <c r="G53">
        <v>1</v>
      </c>
      <c r="H53">
        <v>0</v>
      </c>
      <c r="I53" s="2">
        <f>INT(DATE($B$3,1,1) + (1+0.5)*365/50)</f>
        <v>0</v>
      </c>
      <c r="J53" s="2">
        <f>I53 - INT(ROUND($B$4 * 30.4375, 0) * (0+0.5)/50)</f>
        <v>0</v>
      </c>
      <c r="K53" s="4">
        <f>VLOOKUP(J53, '1_Rate_Changes'!$A$2:$C$100, 3, TRUE)</f>
        <v>0</v>
      </c>
    </row>
    <row r="54" spans="7:11">
      <c r="G54">
        <v>1</v>
      </c>
      <c r="H54">
        <v>1</v>
      </c>
      <c r="I54" s="2">
        <f>INT(DATE($B$3,1,1) + (1+0.5)*365/50)</f>
        <v>0</v>
      </c>
      <c r="J54" s="2">
        <f>I54 - INT(ROUND($B$4 * 30.4375, 0) * (1+0.5)/50)</f>
        <v>0</v>
      </c>
      <c r="K54" s="4">
        <f>VLOOKUP(J54, '1_Rate_Changes'!$A$2:$C$100, 3, TRUE)</f>
        <v>0</v>
      </c>
    </row>
    <row r="55" spans="7:11">
      <c r="G55">
        <v>1</v>
      </c>
      <c r="H55">
        <v>2</v>
      </c>
      <c r="I55" s="2">
        <f>INT(DATE($B$3,1,1) + (1+0.5)*365/50)</f>
        <v>0</v>
      </c>
      <c r="J55" s="2">
        <f>I55 - INT(ROUND($B$4 * 30.4375, 0) * (2+0.5)/50)</f>
        <v>0</v>
      </c>
      <c r="K55" s="4">
        <f>VLOOKUP(J55, '1_Rate_Changes'!$A$2:$C$100, 3, TRUE)</f>
        <v>0</v>
      </c>
    </row>
    <row r="56" spans="7:11">
      <c r="G56">
        <v>1</v>
      </c>
      <c r="H56">
        <v>3</v>
      </c>
      <c r="I56" s="2">
        <f>INT(DATE($B$3,1,1) + (1+0.5)*365/50)</f>
        <v>0</v>
      </c>
      <c r="J56" s="2">
        <f>I56 - INT(ROUND($B$4 * 30.4375, 0) * (3+0.5)/50)</f>
        <v>0</v>
      </c>
      <c r="K56" s="4">
        <f>VLOOKUP(J56, '1_Rate_Changes'!$A$2:$C$100, 3, TRUE)</f>
        <v>0</v>
      </c>
    </row>
    <row r="57" spans="7:11">
      <c r="G57">
        <v>1</v>
      </c>
      <c r="H57">
        <v>4</v>
      </c>
      <c r="I57" s="2">
        <f>INT(DATE($B$3,1,1) + (1+0.5)*365/50)</f>
        <v>0</v>
      </c>
      <c r="J57" s="2">
        <f>I57 - INT(ROUND($B$4 * 30.4375, 0) * (4+0.5)/50)</f>
        <v>0</v>
      </c>
      <c r="K57" s="4">
        <f>VLOOKUP(J57, '1_Rate_Changes'!$A$2:$C$100, 3, TRUE)</f>
        <v>0</v>
      </c>
    </row>
    <row r="58" spans="7:11">
      <c r="G58">
        <v>1</v>
      </c>
      <c r="H58">
        <v>5</v>
      </c>
      <c r="I58" s="2">
        <f>INT(DATE($B$3,1,1) + (1+0.5)*365/50)</f>
        <v>0</v>
      </c>
      <c r="J58" s="2">
        <f>I58 - INT(ROUND($B$4 * 30.4375, 0) * (5+0.5)/50)</f>
        <v>0</v>
      </c>
      <c r="K58" s="4">
        <f>VLOOKUP(J58, '1_Rate_Changes'!$A$2:$C$100, 3, TRUE)</f>
        <v>0</v>
      </c>
    </row>
    <row r="59" spans="7:11">
      <c r="G59">
        <v>1</v>
      </c>
      <c r="H59">
        <v>6</v>
      </c>
      <c r="I59" s="2">
        <f>INT(DATE($B$3,1,1) + (1+0.5)*365/50)</f>
        <v>0</v>
      </c>
      <c r="J59" s="2">
        <f>I59 - INT(ROUND($B$4 * 30.4375, 0) * (6+0.5)/50)</f>
        <v>0</v>
      </c>
      <c r="K59" s="4">
        <f>VLOOKUP(J59, '1_Rate_Changes'!$A$2:$C$100, 3, TRUE)</f>
        <v>0</v>
      </c>
    </row>
    <row r="60" spans="7:11">
      <c r="G60">
        <v>1</v>
      </c>
      <c r="H60">
        <v>7</v>
      </c>
      <c r="I60" s="2">
        <f>INT(DATE($B$3,1,1) + (1+0.5)*365/50)</f>
        <v>0</v>
      </c>
      <c r="J60" s="2">
        <f>I60 - INT(ROUND($B$4 * 30.4375, 0) * (7+0.5)/50)</f>
        <v>0</v>
      </c>
      <c r="K60" s="4">
        <f>VLOOKUP(J60, '1_Rate_Changes'!$A$2:$C$100, 3, TRUE)</f>
        <v>0</v>
      </c>
    </row>
    <row r="61" spans="7:11">
      <c r="G61">
        <v>1</v>
      </c>
      <c r="H61">
        <v>8</v>
      </c>
      <c r="I61" s="2">
        <f>INT(DATE($B$3,1,1) + (1+0.5)*365/50)</f>
        <v>0</v>
      </c>
      <c r="J61" s="2">
        <f>I61 - INT(ROUND($B$4 * 30.4375, 0) * (8+0.5)/50)</f>
        <v>0</v>
      </c>
      <c r="K61" s="4">
        <f>VLOOKUP(J61, '1_Rate_Changes'!$A$2:$C$100, 3, TRUE)</f>
        <v>0</v>
      </c>
    </row>
    <row r="62" spans="7:11">
      <c r="G62">
        <v>1</v>
      </c>
      <c r="H62">
        <v>9</v>
      </c>
      <c r="I62" s="2">
        <f>INT(DATE($B$3,1,1) + (1+0.5)*365/50)</f>
        <v>0</v>
      </c>
      <c r="J62" s="2">
        <f>I62 - INT(ROUND($B$4 * 30.4375, 0) * (9+0.5)/50)</f>
        <v>0</v>
      </c>
      <c r="K62" s="4">
        <f>VLOOKUP(J62, '1_Rate_Changes'!$A$2:$C$100, 3, TRUE)</f>
        <v>0</v>
      </c>
    </row>
    <row r="63" spans="7:11">
      <c r="G63">
        <v>1</v>
      </c>
      <c r="H63">
        <v>10</v>
      </c>
      <c r="I63" s="2">
        <f>INT(DATE($B$3,1,1) + (1+0.5)*365/50)</f>
        <v>0</v>
      </c>
      <c r="J63" s="2">
        <f>I63 - INT(ROUND($B$4 * 30.4375, 0) * (10+0.5)/50)</f>
        <v>0</v>
      </c>
      <c r="K63" s="4">
        <f>VLOOKUP(J63, '1_Rate_Changes'!$A$2:$C$100, 3, TRUE)</f>
        <v>0</v>
      </c>
    </row>
    <row r="64" spans="7:11">
      <c r="G64">
        <v>1</v>
      </c>
      <c r="H64">
        <v>11</v>
      </c>
      <c r="I64" s="2">
        <f>INT(DATE($B$3,1,1) + (1+0.5)*365/50)</f>
        <v>0</v>
      </c>
      <c r="J64" s="2">
        <f>I64 - INT(ROUND($B$4 * 30.4375, 0) * (11+0.5)/50)</f>
        <v>0</v>
      </c>
      <c r="K64" s="4">
        <f>VLOOKUP(J64, '1_Rate_Changes'!$A$2:$C$100, 3, TRUE)</f>
        <v>0</v>
      </c>
    </row>
    <row r="65" spans="7:11">
      <c r="G65">
        <v>1</v>
      </c>
      <c r="H65">
        <v>12</v>
      </c>
      <c r="I65" s="2">
        <f>INT(DATE($B$3,1,1) + (1+0.5)*365/50)</f>
        <v>0</v>
      </c>
      <c r="J65" s="2">
        <f>I65 - INT(ROUND($B$4 * 30.4375, 0) * (12+0.5)/50)</f>
        <v>0</v>
      </c>
      <c r="K65" s="4">
        <f>VLOOKUP(J65, '1_Rate_Changes'!$A$2:$C$100, 3, TRUE)</f>
        <v>0</v>
      </c>
    </row>
    <row r="66" spans="7:11">
      <c r="G66">
        <v>1</v>
      </c>
      <c r="H66">
        <v>13</v>
      </c>
      <c r="I66" s="2">
        <f>INT(DATE($B$3,1,1) + (1+0.5)*365/50)</f>
        <v>0</v>
      </c>
      <c r="J66" s="2">
        <f>I66 - INT(ROUND($B$4 * 30.4375, 0) * (13+0.5)/50)</f>
        <v>0</v>
      </c>
      <c r="K66" s="4">
        <f>VLOOKUP(J66, '1_Rate_Changes'!$A$2:$C$100, 3, TRUE)</f>
        <v>0</v>
      </c>
    </row>
    <row r="67" spans="7:11">
      <c r="G67">
        <v>1</v>
      </c>
      <c r="H67">
        <v>14</v>
      </c>
      <c r="I67" s="2">
        <f>INT(DATE($B$3,1,1) + (1+0.5)*365/50)</f>
        <v>0</v>
      </c>
      <c r="J67" s="2">
        <f>I67 - INT(ROUND($B$4 * 30.4375, 0) * (14+0.5)/50)</f>
        <v>0</v>
      </c>
      <c r="K67" s="4">
        <f>VLOOKUP(J67, '1_Rate_Changes'!$A$2:$C$100, 3, TRUE)</f>
        <v>0</v>
      </c>
    </row>
    <row r="68" spans="7:11">
      <c r="G68">
        <v>1</v>
      </c>
      <c r="H68">
        <v>15</v>
      </c>
      <c r="I68" s="2">
        <f>INT(DATE($B$3,1,1) + (1+0.5)*365/50)</f>
        <v>0</v>
      </c>
      <c r="J68" s="2">
        <f>I68 - INT(ROUND($B$4 * 30.4375, 0) * (15+0.5)/50)</f>
        <v>0</v>
      </c>
      <c r="K68" s="4">
        <f>VLOOKUP(J68, '1_Rate_Changes'!$A$2:$C$100, 3, TRUE)</f>
        <v>0</v>
      </c>
    </row>
    <row r="69" spans="7:11">
      <c r="G69">
        <v>1</v>
      </c>
      <c r="H69">
        <v>16</v>
      </c>
      <c r="I69" s="2">
        <f>INT(DATE($B$3,1,1) + (1+0.5)*365/50)</f>
        <v>0</v>
      </c>
      <c r="J69" s="2">
        <f>I69 - INT(ROUND($B$4 * 30.4375, 0) * (16+0.5)/50)</f>
        <v>0</v>
      </c>
      <c r="K69" s="4">
        <f>VLOOKUP(J69, '1_Rate_Changes'!$A$2:$C$100, 3, TRUE)</f>
        <v>0</v>
      </c>
    </row>
    <row r="70" spans="7:11">
      <c r="G70">
        <v>1</v>
      </c>
      <c r="H70">
        <v>17</v>
      </c>
      <c r="I70" s="2">
        <f>INT(DATE($B$3,1,1) + (1+0.5)*365/50)</f>
        <v>0</v>
      </c>
      <c r="J70" s="2">
        <f>I70 - INT(ROUND($B$4 * 30.4375, 0) * (17+0.5)/50)</f>
        <v>0</v>
      </c>
      <c r="K70" s="4">
        <f>VLOOKUP(J70, '1_Rate_Changes'!$A$2:$C$100, 3, TRUE)</f>
        <v>0</v>
      </c>
    </row>
    <row r="71" spans="7:11">
      <c r="G71">
        <v>1</v>
      </c>
      <c r="H71">
        <v>18</v>
      </c>
      <c r="I71" s="2">
        <f>INT(DATE($B$3,1,1) + (1+0.5)*365/50)</f>
        <v>0</v>
      </c>
      <c r="J71" s="2">
        <f>I71 - INT(ROUND($B$4 * 30.4375, 0) * (18+0.5)/50)</f>
        <v>0</v>
      </c>
      <c r="K71" s="4">
        <f>VLOOKUP(J71, '1_Rate_Changes'!$A$2:$C$100, 3, TRUE)</f>
        <v>0</v>
      </c>
    </row>
    <row r="72" spans="7:11">
      <c r="G72">
        <v>1</v>
      </c>
      <c r="H72">
        <v>19</v>
      </c>
      <c r="I72" s="2">
        <f>INT(DATE($B$3,1,1) + (1+0.5)*365/50)</f>
        <v>0</v>
      </c>
      <c r="J72" s="2">
        <f>I72 - INT(ROUND($B$4 * 30.4375, 0) * (19+0.5)/50)</f>
        <v>0</v>
      </c>
      <c r="K72" s="4">
        <f>VLOOKUP(J72, '1_Rate_Changes'!$A$2:$C$100, 3, TRUE)</f>
        <v>0</v>
      </c>
    </row>
    <row r="73" spans="7:11">
      <c r="G73">
        <v>1</v>
      </c>
      <c r="H73">
        <v>20</v>
      </c>
      <c r="I73" s="2">
        <f>INT(DATE($B$3,1,1) + (1+0.5)*365/50)</f>
        <v>0</v>
      </c>
      <c r="J73" s="2">
        <f>I73 - INT(ROUND($B$4 * 30.4375, 0) * (20+0.5)/50)</f>
        <v>0</v>
      </c>
      <c r="K73" s="4">
        <f>VLOOKUP(J73, '1_Rate_Changes'!$A$2:$C$100, 3, TRUE)</f>
        <v>0</v>
      </c>
    </row>
    <row r="74" spans="7:11">
      <c r="G74">
        <v>1</v>
      </c>
      <c r="H74">
        <v>21</v>
      </c>
      <c r="I74" s="2">
        <f>INT(DATE($B$3,1,1) + (1+0.5)*365/50)</f>
        <v>0</v>
      </c>
      <c r="J74" s="2">
        <f>I74 - INT(ROUND($B$4 * 30.4375, 0) * (21+0.5)/50)</f>
        <v>0</v>
      </c>
      <c r="K74" s="4">
        <f>VLOOKUP(J74, '1_Rate_Changes'!$A$2:$C$100, 3, TRUE)</f>
        <v>0</v>
      </c>
    </row>
    <row r="75" spans="7:11">
      <c r="G75">
        <v>1</v>
      </c>
      <c r="H75">
        <v>22</v>
      </c>
      <c r="I75" s="2">
        <f>INT(DATE($B$3,1,1) + (1+0.5)*365/50)</f>
        <v>0</v>
      </c>
      <c r="J75" s="2">
        <f>I75 - INT(ROUND($B$4 * 30.4375, 0) * (22+0.5)/50)</f>
        <v>0</v>
      </c>
      <c r="K75" s="4">
        <f>VLOOKUP(J75, '1_Rate_Changes'!$A$2:$C$100, 3, TRUE)</f>
        <v>0</v>
      </c>
    </row>
    <row r="76" spans="7:11">
      <c r="G76">
        <v>1</v>
      </c>
      <c r="H76">
        <v>23</v>
      </c>
      <c r="I76" s="2">
        <f>INT(DATE($B$3,1,1) + (1+0.5)*365/50)</f>
        <v>0</v>
      </c>
      <c r="J76" s="2">
        <f>I76 - INT(ROUND($B$4 * 30.4375, 0) * (23+0.5)/50)</f>
        <v>0</v>
      </c>
      <c r="K76" s="4">
        <f>VLOOKUP(J76, '1_Rate_Changes'!$A$2:$C$100, 3, TRUE)</f>
        <v>0</v>
      </c>
    </row>
    <row r="77" spans="7:11">
      <c r="G77">
        <v>1</v>
      </c>
      <c r="H77">
        <v>24</v>
      </c>
      <c r="I77" s="2">
        <f>INT(DATE($B$3,1,1) + (1+0.5)*365/50)</f>
        <v>0</v>
      </c>
      <c r="J77" s="2">
        <f>I77 - INT(ROUND($B$4 * 30.4375, 0) * (24+0.5)/50)</f>
        <v>0</v>
      </c>
      <c r="K77" s="4">
        <f>VLOOKUP(J77, '1_Rate_Changes'!$A$2:$C$100, 3, TRUE)</f>
        <v>0</v>
      </c>
    </row>
    <row r="78" spans="7:11">
      <c r="G78">
        <v>1</v>
      </c>
      <c r="H78">
        <v>25</v>
      </c>
      <c r="I78" s="2">
        <f>INT(DATE($B$3,1,1) + (1+0.5)*365/50)</f>
        <v>0</v>
      </c>
      <c r="J78" s="2">
        <f>I78 - INT(ROUND($B$4 * 30.4375, 0) * (25+0.5)/50)</f>
        <v>0</v>
      </c>
      <c r="K78" s="4">
        <f>VLOOKUP(J78, '1_Rate_Changes'!$A$2:$C$100, 3, TRUE)</f>
        <v>0</v>
      </c>
    </row>
    <row r="79" spans="7:11">
      <c r="G79">
        <v>1</v>
      </c>
      <c r="H79">
        <v>26</v>
      </c>
      <c r="I79" s="2">
        <f>INT(DATE($B$3,1,1) + (1+0.5)*365/50)</f>
        <v>0</v>
      </c>
      <c r="J79" s="2">
        <f>I79 - INT(ROUND($B$4 * 30.4375, 0) * (26+0.5)/50)</f>
        <v>0</v>
      </c>
      <c r="K79" s="4">
        <f>VLOOKUP(J79, '1_Rate_Changes'!$A$2:$C$100, 3, TRUE)</f>
        <v>0</v>
      </c>
    </row>
    <row r="80" spans="7:11">
      <c r="G80">
        <v>1</v>
      </c>
      <c r="H80">
        <v>27</v>
      </c>
      <c r="I80" s="2">
        <f>INT(DATE($B$3,1,1) + (1+0.5)*365/50)</f>
        <v>0</v>
      </c>
      <c r="J80" s="2">
        <f>I80 - INT(ROUND($B$4 * 30.4375, 0) * (27+0.5)/50)</f>
        <v>0</v>
      </c>
      <c r="K80" s="4">
        <f>VLOOKUP(J80, '1_Rate_Changes'!$A$2:$C$100, 3, TRUE)</f>
        <v>0</v>
      </c>
    </row>
    <row r="81" spans="7:11">
      <c r="G81">
        <v>1</v>
      </c>
      <c r="H81">
        <v>28</v>
      </c>
      <c r="I81" s="2">
        <f>INT(DATE($B$3,1,1) + (1+0.5)*365/50)</f>
        <v>0</v>
      </c>
      <c r="J81" s="2">
        <f>I81 - INT(ROUND($B$4 * 30.4375, 0) * (28+0.5)/50)</f>
        <v>0</v>
      </c>
      <c r="K81" s="4">
        <f>VLOOKUP(J81, '1_Rate_Changes'!$A$2:$C$100, 3, TRUE)</f>
        <v>0</v>
      </c>
    </row>
    <row r="82" spans="7:11">
      <c r="G82">
        <v>1</v>
      </c>
      <c r="H82">
        <v>29</v>
      </c>
      <c r="I82" s="2">
        <f>INT(DATE($B$3,1,1) + (1+0.5)*365/50)</f>
        <v>0</v>
      </c>
      <c r="J82" s="2">
        <f>I82 - INT(ROUND($B$4 * 30.4375, 0) * (29+0.5)/50)</f>
        <v>0</v>
      </c>
      <c r="K82" s="4">
        <f>VLOOKUP(J82, '1_Rate_Changes'!$A$2:$C$100, 3, TRUE)</f>
        <v>0</v>
      </c>
    </row>
    <row r="83" spans="7:11">
      <c r="G83">
        <v>1</v>
      </c>
      <c r="H83">
        <v>30</v>
      </c>
      <c r="I83" s="2">
        <f>INT(DATE($B$3,1,1) + (1+0.5)*365/50)</f>
        <v>0</v>
      </c>
      <c r="J83" s="2">
        <f>I83 - INT(ROUND($B$4 * 30.4375, 0) * (30+0.5)/50)</f>
        <v>0</v>
      </c>
      <c r="K83" s="4">
        <f>VLOOKUP(J83, '1_Rate_Changes'!$A$2:$C$100, 3, TRUE)</f>
        <v>0</v>
      </c>
    </row>
    <row r="84" spans="7:11">
      <c r="G84">
        <v>1</v>
      </c>
      <c r="H84">
        <v>31</v>
      </c>
      <c r="I84" s="2">
        <f>INT(DATE($B$3,1,1) + (1+0.5)*365/50)</f>
        <v>0</v>
      </c>
      <c r="J84" s="2">
        <f>I84 - INT(ROUND($B$4 * 30.4375, 0) * (31+0.5)/50)</f>
        <v>0</v>
      </c>
      <c r="K84" s="4">
        <f>VLOOKUP(J84, '1_Rate_Changes'!$A$2:$C$100, 3, TRUE)</f>
        <v>0</v>
      </c>
    </row>
    <row r="85" spans="7:11">
      <c r="G85">
        <v>1</v>
      </c>
      <c r="H85">
        <v>32</v>
      </c>
      <c r="I85" s="2">
        <f>INT(DATE($B$3,1,1) + (1+0.5)*365/50)</f>
        <v>0</v>
      </c>
      <c r="J85" s="2">
        <f>I85 - INT(ROUND($B$4 * 30.4375, 0) * (32+0.5)/50)</f>
        <v>0</v>
      </c>
      <c r="K85" s="4">
        <f>VLOOKUP(J85, '1_Rate_Changes'!$A$2:$C$100, 3, TRUE)</f>
        <v>0</v>
      </c>
    </row>
    <row r="86" spans="7:11">
      <c r="G86">
        <v>1</v>
      </c>
      <c r="H86">
        <v>33</v>
      </c>
      <c r="I86" s="2">
        <f>INT(DATE($B$3,1,1) + (1+0.5)*365/50)</f>
        <v>0</v>
      </c>
      <c r="J86" s="2">
        <f>I86 - INT(ROUND($B$4 * 30.4375, 0) * (33+0.5)/50)</f>
        <v>0</v>
      </c>
      <c r="K86" s="4">
        <f>VLOOKUP(J86, '1_Rate_Changes'!$A$2:$C$100, 3, TRUE)</f>
        <v>0</v>
      </c>
    </row>
    <row r="87" spans="7:11">
      <c r="G87">
        <v>1</v>
      </c>
      <c r="H87">
        <v>34</v>
      </c>
      <c r="I87" s="2">
        <f>INT(DATE($B$3,1,1) + (1+0.5)*365/50)</f>
        <v>0</v>
      </c>
      <c r="J87" s="2">
        <f>I87 - INT(ROUND($B$4 * 30.4375, 0) * (34+0.5)/50)</f>
        <v>0</v>
      </c>
      <c r="K87" s="4">
        <f>VLOOKUP(J87, '1_Rate_Changes'!$A$2:$C$100, 3, TRUE)</f>
        <v>0</v>
      </c>
    </row>
    <row r="88" spans="7:11">
      <c r="G88">
        <v>1</v>
      </c>
      <c r="H88">
        <v>35</v>
      </c>
      <c r="I88" s="2">
        <f>INT(DATE($B$3,1,1) + (1+0.5)*365/50)</f>
        <v>0</v>
      </c>
      <c r="J88" s="2">
        <f>I88 - INT(ROUND($B$4 * 30.4375, 0) * (35+0.5)/50)</f>
        <v>0</v>
      </c>
      <c r="K88" s="4">
        <f>VLOOKUP(J88, '1_Rate_Changes'!$A$2:$C$100, 3, TRUE)</f>
        <v>0</v>
      </c>
    </row>
    <row r="89" spans="7:11">
      <c r="G89">
        <v>1</v>
      </c>
      <c r="H89">
        <v>36</v>
      </c>
      <c r="I89" s="2">
        <f>INT(DATE($B$3,1,1) + (1+0.5)*365/50)</f>
        <v>0</v>
      </c>
      <c r="J89" s="2">
        <f>I89 - INT(ROUND($B$4 * 30.4375, 0) * (36+0.5)/50)</f>
        <v>0</v>
      </c>
      <c r="K89" s="4">
        <f>VLOOKUP(J89, '1_Rate_Changes'!$A$2:$C$100, 3, TRUE)</f>
        <v>0</v>
      </c>
    </row>
    <row r="90" spans="7:11">
      <c r="G90">
        <v>1</v>
      </c>
      <c r="H90">
        <v>37</v>
      </c>
      <c r="I90" s="2">
        <f>INT(DATE($B$3,1,1) + (1+0.5)*365/50)</f>
        <v>0</v>
      </c>
      <c r="J90" s="2">
        <f>I90 - INT(ROUND($B$4 * 30.4375, 0) * (37+0.5)/50)</f>
        <v>0</v>
      </c>
      <c r="K90" s="4">
        <f>VLOOKUP(J90, '1_Rate_Changes'!$A$2:$C$100, 3, TRUE)</f>
        <v>0</v>
      </c>
    </row>
    <row r="91" spans="7:11">
      <c r="G91">
        <v>1</v>
      </c>
      <c r="H91">
        <v>38</v>
      </c>
      <c r="I91" s="2">
        <f>INT(DATE($B$3,1,1) + (1+0.5)*365/50)</f>
        <v>0</v>
      </c>
      <c r="J91" s="2">
        <f>I91 - INT(ROUND($B$4 * 30.4375, 0) * (38+0.5)/50)</f>
        <v>0</v>
      </c>
      <c r="K91" s="4">
        <f>VLOOKUP(J91, '1_Rate_Changes'!$A$2:$C$100, 3, TRUE)</f>
        <v>0</v>
      </c>
    </row>
    <row r="92" spans="7:11">
      <c r="G92">
        <v>1</v>
      </c>
      <c r="H92">
        <v>39</v>
      </c>
      <c r="I92" s="2">
        <f>INT(DATE($B$3,1,1) + (1+0.5)*365/50)</f>
        <v>0</v>
      </c>
      <c r="J92" s="2">
        <f>I92 - INT(ROUND($B$4 * 30.4375, 0) * (39+0.5)/50)</f>
        <v>0</v>
      </c>
      <c r="K92" s="4">
        <f>VLOOKUP(J92, '1_Rate_Changes'!$A$2:$C$100, 3, TRUE)</f>
        <v>0</v>
      </c>
    </row>
    <row r="93" spans="7:11">
      <c r="G93">
        <v>1</v>
      </c>
      <c r="H93">
        <v>40</v>
      </c>
      <c r="I93" s="2">
        <f>INT(DATE($B$3,1,1) + (1+0.5)*365/50)</f>
        <v>0</v>
      </c>
      <c r="J93" s="2">
        <f>I93 - INT(ROUND($B$4 * 30.4375, 0) * (40+0.5)/50)</f>
        <v>0</v>
      </c>
      <c r="K93" s="4">
        <f>VLOOKUP(J93, '1_Rate_Changes'!$A$2:$C$100, 3, TRUE)</f>
        <v>0</v>
      </c>
    </row>
    <row r="94" spans="7:11">
      <c r="G94">
        <v>1</v>
      </c>
      <c r="H94">
        <v>41</v>
      </c>
      <c r="I94" s="2">
        <f>INT(DATE($B$3,1,1) + (1+0.5)*365/50)</f>
        <v>0</v>
      </c>
      <c r="J94" s="2">
        <f>I94 - INT(ROUND($B$4 * 30.4375, 0) * (41+0.5)/50)</f>
        <v>0</v>
      </c>
      <c r="K94" s="4">
        <f>VLOOKUP(J94, '1_Rate_Changes'!$A$2:$C$100, 3, TRUE)</f>
        <v>0</v>
      </c>
    </row>
    <row r="95" spans="7:11">
      <c r="G95">
        <v>1</v>
      </c>
      <c r="H95">
        <v>42</v>
      </c>
      <c r="I95" s="2">
        <f>INT(DATE($B$3,1,1) + (1+0.5)*365/50)</f>
        <v>0</v>
      </c>
      <c r="J95" s="2">
        <f>I95 - INT(ROUND($B$4 * 30.4375, 0) * (42+0.5)/50)</f>
        <v>0</v>
      </c>
      <c r="K95" s="4">
        <f>VLOOKUP(J95, '1_Rate_Changes'!$A$2:$C$100, 3, TRUE)</f>
        <v>0</v>
      </c>
    </row>
    <row r="96" spans="7:11">
      <c r="G96">
        <v>1</v>
      </c>
      <c r="H96">
        <v>43</v>
      </c>
      <c r="I96" s="2">
        <f>INT(DATE($B$3,1,1) + (1+0.5)*365/50)</f>
        <v>0</v>
      </c>
      <c r="J96" s="2">
        <f>I96 - INT(ROUND($B$4 * 30.4375, 0) * (43+0.5)/50)</f>
        <v>0</v>
      </c>
      <c r="K96" s="4">
        <f>VLOOKUP(J96, '1_Rate_Changes'!$A$2:$C$100, 3, TRUE)</f>
        <v>0</v>
      </c>
    </row>
    <row r="97" spans="7:11">
      <c r="G97">
        <v>1</v>
      </c>
      <c r="H97">
        <v>44</v>
      </c>
      <c r="I97" s="2">
        <f>INT(DATE($B$3,1,1) + (1+0.5)*365/50)</f>
        <v>0</v>
      </c>
      <c r="J97" s="2">
        <f>I97 - INT(ROUND($B$4 * 30.4375, 0) * (44+0.5)/50)</f>
        <v>0</v>
      </c>
      <c r="K97" s="4">
        <f>VLOOKUP(J97, '1_Rate_Changes'!$A$2:$C$100, 3, TRUE)</f>
        <v>0</v>
      </c>
    </row>
    <row r="98" spans="7:11">
      <c r="G98">
        <v>1</v>
      </c>
      <c r="H98">
        <v>45</v>
      </c>
      <c r="I98" s="2">
        <f>INT(DATE($B$3,1,1) + (1+0.5)*365/50)</f>
        <v>0</v>
      </c>
      <c r="J98" s="2">
        <f>I98 - INT(ROUND($B$4 * 30.4375, 0) * (45+0.5)/50)</f>
        <v>0</v>
      </c>
      <c r="K98" s="4">
        <f>VLOOKUP(J98, '1_Rate_Changes'!$A$2:$C$100, 3, TRUE)</f>
        <v>0</v>
      </c>
    </row>
    <row r="99" spans="7:11">
      <c r="G99">
        <v>1</v>
      </c>
      <c r="H99">
        <v>46</v>
      </c>
      <c r="I99" s="2">
        <f>INT(DATE($B$3,1,1) + (1+0.5)*365/50)</f>
        <v>0</v>
      </c>
      <c r="J99" s="2">
        <f>I99 - INT(ROUND($B$4 * 30.4375, 0) * (46+0.5)/50)</f>
        <v>0</v>
      </c>
      <c r="K99" s="4">
        <f>VLOOKUP(J99, '1_Rate_Changes'!$A$2:$C$100, 3, TRUE)</f>
        <v>0</v>
      </c>
    </row>
    <row r="100" spans="7:11">
      <c r="G100">
        <v>1</v>
      </c>
      <c r="H100">
        <v>47</v>
      </c>
      <c r="I100" s="2">
        <f>INT(DATE($B$3,1,1) + (1+0.5)*365/50)</f>
        <v>0</v>
      </c>
      <c r="J100" s="2">
        <f>I100 - INT(ROUND($B$4 * 30.4375, 0) * (47+0.5)/50)</f>
        <v>0</v>
      </c>
      <c r="K100" s="4">
        <f>VLOOKUP(J100, '1_Rate_Changes'!$A$2:$C$100, 3, TRUE)</f>
        <v>0</v>
      </c>
    </row>
    <row r="101" spans="7:11">
      <c r="G101">
        <v>1</v>
      </c>
      <c r="H101">
        <v>48</v>
      </c>
      <c r="I101" s="2">
        <f>INT(DATE($B$3,1,1) + (1+0.5)*365/50)</f>
        <v>0</v>
      </c>
      <c r="J101" s="2">
        <f>I101 - INT(ROUND($B$4 * 30.4375, 0) * (48+0.5)/50)</f>
        <v>0</v>
      </c>
      <c r="K101" s="4">
        <f>VLOOKUP(J101, '1_Rate_Changes'!$A$2:$C$100, 3, TRUE)</f>
        <v>0</v>
      </c>
    </row>
    <row r="102" spans="7:11">
      <c r="G102">
        <v>1</v>
      </c>
      <c r="H102">
        <v>49</v>
      </c>
      <c r="I102" s="2">
        <f>INT(DATE($B$3,1,1) + (1+0.5)*365/50)</f>
        <v>0</v>
      </c>
      <c r="J102" s="2">
        <f>I102 - INT(ROUND($B$4 * 30.4375, 0) * (49+0.5)/50)</f>
        <v>0</v>
      </c>
      <c r="K102" s="4">
        <f>VLOOKUP(J102, '1_Rate_Changes'!$A$2:$C$100, 3, TRUE)</f>
        <v>0</v>
      </c>
    </row>
    <row r="103" spans="7:11">
      <c r="G103">
        <v>2</v>
      </c>
      <c r="H103">
        <v>0</v>
      </c>
      <c r="I103" s="2">
        <f>INT(DATE($B$3,1,1) + (2+0.5)*365/50)</f>
        <v>0</v>
      </c>
      <c r="J103" s="2">
        <f>I103 - INT(ROUND($B$4 * 30.4375, 0) * (0+0.5)/50)</f>
        <v>0</v>
      </c>
      <c r="K103" s="4">
        <f>VLOOKUP(J103, '1_Rate_Changes'!$A$2:$C$100, 3, TRUE)</f>
        <v>0</v>
      </c>
    </row>
    <row r="104" spans="7:11">
      <c r="G104">
        <v>2</v>
      </c>
      <c r="H104">
        <v>1</v>
      </c>
      <c r="I104" s="2">
        <f>INT(DATE($B$3,1,1) + (2+0.5)*365/50)</f>
        <v>0</v>
      </c>
      <c r="J104" s="2">
        <f>I104 - INT(ROUND($B$4 * 30.4375, 0) * (1+0.5)/50)</f>
        <v>0</v>
      </c>
      <c r="K104" s="4">
        <f>VLOOKUP(J104, '1_Rate_Changes'!$A$2:$C$100, 3, TRUE)</f>
        <v>0</v>
      </c>
    </row>
    <row r="105" spans="7:11">
      <c r="G105">
        <v>2</v>
      </c>
      <c r="H105">
        <v>2</v>
      </c>
      <c r="I105" s="2">
        <f>INT(DATE($B$3,1,1) + (2+0.5)*365/50)</f>
        <v>0</v>
      </c>
      <c r="J105" s="2">
        <f>I105 - INT(ROUND($B$4 * 30.4375, 0) * (2+0.5)/50)</f>
        <v>0</v>
      </c>
      <c r="K105" s="4">
        <f>VLOOKUP(J105, '1_Rate_Changes'!$A$2:$C$100, 3, TRUE)</f>
        <v>0</v>
      </c>
    </row>
    <row r="106" spans="7:11">
      <c r="G106">
        <v>2</v>
      </c>
      <c r="H106">
        <v>3</v>
      </c>
      <c r="I106" s="2">
        <f>INT(DATE($B$3,1,1) + (2+0.5)*365/50)</f>
        <v>0</v>
      </c>
      <c r="J106" s="2">
        <f>I106 - INT(ROUND($B$4 * 30.4375, 0) * (3+0.5)/50)</f>
        <v>0</v>
      </c>
      <c r="K106" s="4">
        <f>VLOOKUP(J106, '1_Rate_Changes'!$A$2:$C$100, 3, TRUE)</f>
        <v>0</v>
      </c>
    </row>
    <row r="107" spans="7:11">
      <c r="G107">
        <v>2</v>
      </c>
      <c r="H107">
        <v>4</v>
      </c>
      <c r="I107" s="2">
        <f>INT(DATE($B$3,1,1) + (2+0.5)*365/50)</f>
        <v>0</v>
      </c>
      <c r="J107" s="2">
        <f>I107 - INT(ROUND($B$4 * 30.4375, 0) * (4+0.5)/50)</f>
        <v>0</v>
      </c>
      <c r="K107" s="4">
        <f>VLOOKUP(J107, '1_Rate_Changes'!$A$2:$C$100, 3, TRUE)</f>
        <v>0</v>
      </c>
    </row>
    <row r="108" spans="7:11">
      <c r="G108">
        <v>2</v>
      </c>
      <c r="H108">
        <v>5</v>
      </c>
      <c r="I108" s="2">
        <f>INT(DATE($B$3,1,1) + (2+0.5)*365/50)</f>
        <v>0</v>
      </c>
      <c r="J108" s="2">
        <f>I108 - INT(ROUND($B$4 * 30.4375, 0) * (5+0.5)/50)</f>
        <v>0</v>
      </c>
      <c r="K108" s="4">
        <f>VLOOKUP(J108, '1_Rate_Changes'!$A$2:$C$100, 3, TRUE)</f>
        <v>0</v>
      </c>
    </row>
    <row r="109" spans="7:11">
      <c r="G109">
        <v>2</v>
      </c>
      <c r="H109">
        <v>6</v>
      </c>
      <c r="I109" s="2">
        <f>INT(DATE($B$3,1,1) + (2+0.5)*365/50)</f>
        <v>0</v>
      </c>
      <c r="J109" s="2">
        <f>I109 - INT(ROUND($B$4 * 30.4375, 0) * (6+0.5)/50)</f>
        <v>0</v>
      </c>
      <c r="K109" s="4">
        <f>VLOOKUP(J109, '1_Rate_Changes'!$A$2:$C$100, 3, TRUE)</f>
        <v>0</v>
      </c>
    </row>
    <row r="110" spans="7:11">
      <c r="G110">
        <v>2</v>
      </c>
      <c r="H110">
        <v>7</v>
      </c>
      <c r="I110" s="2">
        <f>INT(DATE($B$3,1,1) + (2+0.5)*365/50)</f>
        <v>0</v>
      </c>
      <c r="J110" s="2">
        <f>I110 - INT(ROUND($B$4 * 30.4375, 0) * (7+0.5)/50)</f>
        <v>0</v>
      </c>
      <c r="K110" s="4">
        <f>VLOOKUP(J110, '1_Rate_Changes'!$A$2:$C$100, 3, TRUE)</f>
        <v>0</v>
      </c>
    </row>
    <row r="111" spans="7:11">
      <c r="G111">
        <v>2</v>
      </c>
      <c r="H111">
        <v>8</v>
      </c>
      <c r="I111" s="2">
        <f>INT(DATE($B$3,1,1) + (2+0.5)*365/50)</f>
        <v>0</v>
      </c>
      <c r="J111" s="2">
        <f>I111 - INT(ROUND($B$4 * 30.4375, 0) * (8+0.5)/50)</f>
        <v>0</v>
      </c>
      <c r="K111" s="4">
        <f>VLOOKUP(J111, '1_Rate_Changes'!$A$2:$C$100, 3, TRUE)</f>
        <v>0</v>
      </c>
    </row>
    <row r="112" spans="7:11">
      <c r="G112">
        <v>2</v>
      </c>
      <c r="H112">
        <v>9</v>
      </c>
      <c r="I112" s="2">
        <f>INT(DATE($B$3,1,1) + (2+0.5)*365/50)</f>
        <v>0</v>
      </c>
      <c r="J112" s="2">
        <f>I112 - INT(ROUND($B$4 * 30.4375, 0) * (9+0.5)/50)</f>
        <v>0</v>
      </c>
      <c r="K112" s="4">
        <f>VLOOKUP(J112, '1_Rate_Changes'!$A$2:$C$100, 3, TRUE)</f>
        <v>0</v>
      </c>
    </row>
    <row r="113" spans="7:11">
      <c r="G113">
        <v>2</v>
      </c>
      <c r="H113">
        <v>10</v>
      </c>
      <c r="I113" s="2">
        <f>INT(DATE($B$3,1,1) + (2+0.5)*365/50)</f>
        <v>0</v>
      </c>
      <c r="J113" s="2">
        <f>I113 - INT(ROUND($B$4 * 30.4375, 0) * (10+0.5)/50)</f>
        <v>0</v>
      </c>
      <c r="K113" s="4">
        <f>VLOOKUP(J113, '1_Rate_Changes'!$A$2:$C$100, 3, TRUE)</f>
        <v>0</v>
      </c>
    </row>
    <row r="114" spans="7:11">
      <c r="G114">
        <v>2</v>
      </c>
      <c r="H114">
        <v>11</v>
      </c>
      <c r="I114" s="2">
        <f>INT(DATE($B$3,1,1) + (2+0.5)*365/50)</f>
        <v>0</v>
      </c>
      <c r="J114" s="2">
        <f>I114 - INT(ROUND($B$4 * 30.4375, 0) * (11+0.5)/50)</f>
        <v>0</v>
      </c>
      <c r="K114" s="4">
        <f>VLOOKUP(J114, '1_Rate_Changes'!$A$2:$C$100, 3, TRUE)</f>
        <v>0</v>
      </c>
    </row>
    <row r="115" spans="7:11">
      <c r="G115">
        <v>2</v>
      </c>
      <c r="H115">
        <v>12</v>
      </c>
      <c r="I115" s="2">
        <f>INT(DATE($B$3,1,1) + (2+0.5)*365/50)</f>
        <v>0</v>
      </c>
      <c r="J115" s="2">
        <f>I115 - INT(ROUND($B$4 * 30.4375, 0) * (12+0.5)/50)</f>
        <v>0</v>
      </c>
      <c r="K115" s="4">
        <f>VLOOKUP(J115, '1_Rate_Changes'!$A$2:$C$100, 3, TRUE)</f>
        <v>0</v>
      </c>
    </row>
    <row r="116" spans="7:11">
      <c r="G116">
        <v>2</v>
      </c>
      <c r="H116">
        <v>13</v>
      </c>
      <c r="I116" s="2">
        <f>INT(DATE($B$3,1,1) + (2+0.5)*365/50)</f>
        <v>0</v>
      </c>
      <c r="J116" s="2">
        <f>I116 - INT(ROUND($B$4 * 30.4375, 0) * (13+0.5)/50)</f>
        <v>0</v>
      </c>
      <c r="K116" s="4">
        <f>VLOOKUP(J116, '1_Rate_Changes'!$A$2:$C$100, 3, TRUE)</f>
        <v>0</v>
      </c>
    </row>
    <row r="117" spans="7:11">
      <c r="G117">
        <v>2</v>
      </c>
      <c r="H117">
        <v>14</v>
      </c>
      <c r="I117" s="2">
        <f>INT(DATE($B$3,1,1) + (2+0.5)*365/50)</f>
        <v>0</v>
      </c>
      <c r="J117" s="2">
        <f>I117 - INT(ROUND($B$4 * 30.4375, 0) * (14+0.5)/50)</f>
        <v>0</v>
      </c>
      <c r="K117" s="4">
        <f>VLOOKUP(J117, '1_Rate_Changes'!$A$2:$C$100, 3, TRUE)</f>
        <v>0</v>
      </c>
    </row>
    <row r="118" spans="7:11">
      <c r="G118">
        <v>2</v>
      </c>
      <c r="H118">
        <v>15</v>
      </c>
      <c r="I118" s="2">
        <f>INT(DATE($B$3,1,1) + (2+0.5)*365/50)</f>
        <v>0</v>
      </c>
      <c r="J118" s="2">
        <f>I118 - INT(ROUND($B$4 * 30.4375, 0) * (15+0.5)/50)</f>
        <v>0</v>
      </c>
      <c r="K118" s="4">
        <f>VLOOKUP(J118, '1_Rate_Changes'!$A$2:$C$100, 3, TRUE)</f>
        <v>0</v>
      </c>
    </row>
    <row r="119" spans="7:11">
      <c r="G119">
        <v>2</v>
      </c>
      <c r="H119">
        <v>16</v>
      </c>
      <c r="I119" s="2">
        <f>INT(DATE($B$3,1,1) + (2+0.5)*365/50)</f>
        <v>0</v>
      </c>
      <c r="J119" s="2">
        <f>I119 - INT(ROUND($B$4 * 30.4375, 0) * (16+0.5)/50)</f>
        <v>0</v>
      </c>
      <c r="K119" s="4">
        <f>VLOOKUP(J119, '1_Rate_Changes'!$A$2:$C$100, 3, TRUE)</f>
        <v>0</v>
      </c>
    </row>
    <row r="120" spans="7:11">
      <c r="G120">
        <v>2</v>
      </c>
      <c r="H120">
        <v>17</v>
      </c>
      <c r="I120" s="2">
        <f>INT(DATE($B$3,1,1) + (2+0.5)*365/50)</f>
        <v>0</v>
      </c>
      <c r="J120" s="2">
        <f>I120 - INT(ROUND($B$4 * 30.4375, 0) * (17+0.5)/50)</f>
        <v>0</v>
      </c>
      <c r="K120" s="4">
        <f>VLOOKUP(J120, '1_Rate_Changes'!$A$2:$C$100, 3, TRUE)</f>
        <v>0</v>
      </c>
    </row>
    <row r="121" spans="7:11">
      <c r="G121">
        <v>2</v>
      </c>
      <c r="H121">
        <v>18</v>
      </c>
      <c r="I121" s="2">
        <f>INT(DATE($B$3,1,1) + (2+0.5)*365/50)</f>
        <v>0</v>
      </c>
      <c r="J121" s="2">
        <f>I121 - INT(ROUND($B$4 * 30.4375, 0) * (18+0.5)/50)</f>
        <v>0</v>
      </c>
      <c r="K121" s="4">
        <f>VLOOKUP(J121, '1_Rate_Changes'!$A$2:$C$100, 3, TRUE)</f>
        <v>0</v>
      </c>
    </row>
    <row r="122" spans="7:11">
      <c r="G122">
        <v>2</v>
      </c>
      <c r="H122">
        <v>19</v>
      </c>
      <c r="I122" s="2">
        <f>INT(DATE($B$3,1,1) + (2+0.5)*365/50)</f>
        <v>0</v>
      </c>
      <c r="J122" s="2">
        <f>I122 - INT(ROUND($B$4 * 30.4375, 0) * (19+0.5)/50)</f>
        <v>0</v>
      </c>
      <c r="K122" s="4">
        <f>VLOOKUP(J122, '1_Rate_Changes'!$A$2:$C$100, 3, TRUE)</f>
        <v>0</v>
      </c>
    </row>
    <row r="123" spans="7:11">
      <c r="G123">
        <v>2</v>
      </c>
      <c r="H123">
        <v>20</v>
      </c>
      <c r="I123" s="2">
        <f>INT(DATE($B$3,1,1) + (2+0.5)*365/50)</f>
        <v>0</v>
      </c>
      <c r="J123" s="2">
        <f>I123 - INT(ROUND($B$4 * 30.4375, 0) * (20+0.5)/50)</f>
        <v>0</v>
      </c>
      <c r="K123" s="4">
        <f>VLOOKUP(J123, '1_Rate_Changes'!$A$2:$C$100, 3, TRUE)</f>
        <v>0</v>
      </c>
    </row>
    <row r="124" spans="7:11">
      <c r="G124">
        <v>2</v>
      </c>
      <c r="H124">
        <v>21</v>
      </c>
      <c r="I124" s="2">
        <f>INT(DATE($B$3,1,1) + (2+0.5)*365/50)</f>
        <v>0</v>
      </c>
      <c r="J124" s="2">
        <f>I124 - INT(ROUND($B$4 * 30.4375, 0) * (21+0.5)/50)</f>
        <v>0</v>
      </c>
      <c r="K124" s="4">
        <f>VLOOKUP(J124, '1_Rate_Changes'!$A$2:$C$100, 3, TRUE)</f>
        <v>0</v>
      </c>
    </row>
    <row r="125" spans="7:11">
      <c r="G125">
        <v>2</v>
      </c>
      <c r="H125">
        <v>22</v>
      </c>
      <c r="I125" s="2">
        <f>INT(DATE($B$3,1,1) + (2+0.5)*365/50)</f>
        <v>0</v>
      </c>
      <c r="J125" s="2">
        <f>I125 - INT(ROUND($B$4 * 30.4375, 0) * (22+0.5)/50)</f>
        <v>0</v>
      </c>
      <c r="K125" s="4">
        <f>VLOOKUP(J125, '1_Rate_Changes'!$A$2:$C$100, 3, TRUE)</f>
        <v>0</v>
      </c>
    </row>
    <row r="126" spans="7:11">
      <c r="G126">
        <v>2</v>
      </c>
      <c r="H126">
        <v>23</v>
      </c>
      <c r="I126" s="2">
        <f>INT(DATE($B$3,1,1) + (2+0.5)*365/50)</f>
        <v>0</v>
      </c>
      <c r="J126" s="2">
        <f>I126 - INT(ROUND($B$4 * 30.4375, 0) * (23+0.5)/50)</f>
        <v>0</v>
      </c>
      <c r="K126" s="4">
        <f>VLOOKUP(J126, '1_Rate_Changes'!$A$2:$C$100, 3, TRUE)</f>
        <v>0</v>
      </c>
    </row>
    <row r="127" spans="7:11">
      <c r="G127">
        <v>2</v>
      </c>
      <c r="H127">
        <v>24</v>
      </c>
      <c r="I127" s="2">
        <f>INT(DATE($B$3,1,1) + (2+0.5)*365/50)</f>
        <v>0</v>
      </c>
      <c r="J127" s="2">
        <f>I127 - INT(ROUND($B$4 * 30.4375, 0) * (24+0.5)/50)</f>
        <v>0</v>
      </c>
      <c r="K127" s="4">
        <f>VLOOKUP(J127, '1_Rate_Changes'!$A$2:$C$100, 3, TRUE)</f>
        <v>0</v>
      </c>
    </row>
    <row r="128" spans="7:11">
      <c r="G128">
        <v>2</v>
      </c>
      <c r="H128">
        <v>25</v>
      </c>
      <c r="I128" s="2">
        <f>INT(DATE($B$3,1,1) + (2+0.5)*365/50)</f>
        <v>0</v>
      </c>
      <c r="J128" s="2">
        <f>I128 - INT(ROUND($B$4 * 30.4375, 0) * (25+0.5)/50)</f>
        <v>0</v>
      </c>
      <c r="K128" s="4">
        <f>VLOOKUP(J128, '1_Rate_Changes'!$A$2:$C$100, 3, TRUE)</f>
        <v>0</v>
      </c>
    </row>
    <row r="129" spans="7:11">
      <c r="G129">
        <v>2</v>
      </c>
      <c r="H129">
        <v>26</v>
      </c>
      <c r="I129" s="2">
        <f>INT(DATE($B$3,1,1) + (2+0.5)*365/50)</f>
        <v>0</v>
      </c>
      <c r="J129" s="2">
        <f>I129 - INT(ROUND($B$4 * 30.4375, 0) * (26+0.5)/50)</f>
        <v>0</v>
      </c>
      <c r="K129" s="4">
        <f>VLOOKUP(J129, '1_Rate_Changes'!$A$2:$C$100, 3, TRUE)</f>
        <v>0</v>
      </c>
    </row>
    <row r="130" spans="7:11">
      <c r="G130">
        <v>2</v>
      </c>
      <c r="H130">
        <v>27</v>
      </c>
      <c r="I130" s="2">
        <f>INT(DATE($B$3,1,1) + (2+0.5)*365/50)</f>
        <v>0</v>
      </c>
      <c r="J130" s="2">
        <f>I130 - INT(ROUND($B$4 * 30.4375, 0) * (27+0.5)/50)</f>
        <v>0</v>
      </c>
      <c r="K130" s="4">
        <f>VLOOKUP(J130, '1_Rate_Changes'!$A$2:$C$100, 3, TRUE)</f>
        <v>0</v>
      </c>
    </row>
    <row r="131" spans="7:11">
      <c r="G131">
        <v>2</v>
      </c>
      <c r="H131">
        <v>28</v>
      </c>
      <c r="I131" s="2">
        <f>INT(DATE($B$3,1,1) + (2+0.5)*365/50)</f>
        <v>0</v>
      </c>
      <c r="J131" s="2">
        <f>I131 - INT(ROUND($B$4 * 30.4375, 0) * (28+0.5)/50)</f>
        <v>0</v>
      </c>
      <c r="K131" s="4">
        <f>VLOOKUP(J131, '1_Rate_Changes'!$A$2:$C$100, 3, TRUE)</f>
        <v>0</v>
      </c>
    </row>
    <row r="132" spans="7:11">
      <c r="G132">
        <v>2</v>
      </c>
      <c r="H132">
        <v>29</v>
      </c>
      <c r="I132" s="2">
        <f>INT(DATE($B$3,1,1) + (2+0.5)*365/50)</f>
        <v>0</v>
      </c>
      <c r="J132" s="2">
        <f>I132 - INT(ROUND($B$4 * 30.4375, 0) * (29+0.5)/50)</f>
        <v>0</v>
      </c>
      <c r="K132" s="4">
        <f>VLOOKUP(J132, '1_Rate_Changes'!$A$2:$C$100, 3, TRUE)</f>
        <v>0</v>
      </c>
    </row>
    <row r="133" spans="7:11">
      <c r="G133">
        <v>2</v>
      </c>
      <c r="H133">
        <v>30</v>
      </c>
      <c r="I133" s="2">
        <f>INT(DATE($B$3,1,1) + (2+0.5)*365/50)</f>
        <v>0</v>
      </c>
      <c r="J133" s="2">
        <f>I133 - INT(ROUND($B$4 * 30.4375, 0) * (30+0.5)/50)</f>
        <v>0</v>
      </c>
      <c r="K133" s="4">
        <f>VLOOKUP(J133, '1_Rate_Changes'!$A$2:$C$100, 3, TRUE)</f>
        <v>0</v>
      </c>
    </row>
    <row r="134" spans="7:11">
      <c r="G134">
        <v>2</v>
      </c>
      <c r="H134">
        <v>31</v>
      </c>
      <c r="I134" s="2">
        <f>INT(DATE($B$3,1,1) + (2+0.5)*365/50)</f>
        <v>0</v>
      </c>
      <c r="J134" s="2">
        <f>I134 - INT(ROUND($B$4 * 30.4375, 0) * (31+0.5)/50)</f>
        <v>0</v>
      </c>
      <c r="K134" s="4">
        <f>VLOOKUP(J134, '1_Rate_Changes'!$A$2:$C$100, 3, TRUE)</f>
        <v>0</v>
      </c>
    </row>
    <row r="135" spans="7:11">
      <c r="G135">
        <v>2</v>
      </c>
      <c r="H135">
        <v>32</v>
      </c>
      <c r="I135" s="2">
        <f>INT(DATE($B$3,1,1) + (2+0.5)*365/50)</f>
        <v>0</v>
      </c>
      <c r="J135" s="2">
        <f>I135 - INT(ROUND($B$4 * 30.4375, 0) * (32+0.5)/50)</f>
        <v>0</v>
      </c>
      <c r="K135" s="4">
        <f>VLOOKUP(J135, '1_Rate_Changes'!$A$2:$C$100, 3, TRUE)</f>
        <v>0</v>
      </c>
    </row>
    <row r="136" spans="7:11">
      <c r="G136">
        <v>2</v>
      </c>
      <c r="H136">
        <v>33</v>
      </c>
      <c r="I136" s="2">
        <f>INT(DATE($B$3,1,1) + (2+0.5)*365/50)</f>
        <v>0</v>
      </c>
      <c r="J136" s="2">
        <f>I136 - INT(ROUND($B$4 * 30.4375, 0) * (33+0.5)/50)</f>
        <v>0</v>
      </c>
      <c r="K136" s="4">
        <f>VLOOKUP(J136, '1_Rate_Changes'!$A$2:$C$100, 3, TRUE)</f>
        <v>0</v>
      </c>
    </row>
    <row r="137" spans="7:11">
      <c r="G137">
        <v>2</v>
      </c>
      <c r="H137">
        <v>34</v>
      </c>
      <c r="I137" s="2">
        <f>INT(DATE($B$3,1,1) + (2+0.5)*365/50)</f>
        <v>0</v>
      </c>
      <c r="J137" s="2">
        <f>I137 - INT(ROUND($B$4 * 30.4375, 0) * (34+0.5)/50)</f>
        <v>0</v>
      </c>
      <c r="K137" s="4">
        <f>VLOOKUP(J137, '1_Rate_Changes'!$A$2:$C$100, 3, TRUE)</f>
        <v>0</v>
      </c>
    </row>
    <row r="138" spans="7:11">
      <c r="G138">
        <v>2</v>
      </c>
      <c r="H138">
        <v>35</v>
      </c>
      <c r="I138" s="2">
        <f>INT(DATE($B$3,1,1) + (2+0.5)*365/50)</f>
        <v>0</v>
      </c>
      <c r="J138" s="2">
        <f>I138 - INT(ROUND($B$4 * 30.4375, 0) * (35+0.5)/50)</f>
        <v>0</v>
      </c>
      <c r="K138" s="4">
        <f>VLOOKUP(J138, '1_Rate_Changes'!$A$2:$C$100, 3, TRUE)</f>
        <v>0</v>
      </c>
    </row>
    <row r="139" spans="7:11">
      <c r="G139">
        <v>2</v>
      </c>
      <c r="H139">
        <v>36</v>
      </c>
      <c r="I139" s="2">
        <f>INT(DATE($B$3,1,1) + (2+0.5)*365/50)</f>
        <v>0</v>
      </c>
      <c r="J139" s="2">
        <f>I139 - INT(ROUND($B$4 * 30.4375, 0) * (36+0.5)/50)</f>
        <v>0</v>
      </c>
      <c r="K139" s="4">
        <f>VLOOKUP(J139, '1_Rate_Changes'!$A$2:$C$100, 3, TRUE)</f>
        <v>0</v>
      </c>
    </row>
    <row r="140" spans="7:11">
      <c r="G140">
        <v>2</v>
      </c>
      <c r="H140">
        <v>37</v>
      </c>
      <c r="I140" s="2">
        <f>INT(DATE($B$3,1,1) + (2+0.5)*365/50)</f>
        <v>0</v>
      </c>
      <c r="J140" s="2">
        <f>I140 - INT(ROUND($B$4 * 30.4375, 0) * (37+0.5)/50)</f>
        <v>0</v>
      </c>
      <c r="K140" s="4">
        <f>VLOOKUP(J140, '1_Rate_Changes'!$A$2:$C$100, 3, TRUE)</f>
        <v>0</v>
      </c>
    </row>
    <row r="141" spans="7:11">
      <c r="G141">
        <v>2</v>
      </c>
      <c r="H141">
        <v>38</v>
      </c>
      <c r="I141" s="2">
        <f>INT(DATE($B$3,1,1) + (2+0.5)*365/50)</f>
        <v>0</v>
      </c>
      <c r="J141" s="2">
        <f>I141 - INT(ROUND($B$4 * 30.4375, 0) * (38+0.5)/50)</f>
        <v>0</v>
      </c>
      <c r="K141" s="4">
        <f>VLOOKUP(J141, '1_Rate_Changes'!$A$2:$C$100, 3, TRUE)</f>
        <v>0</v>
      </c>
    </row>
    <row r="142" spans="7:11">
      <c r="G142">
        <v>2</v>
      </c>
      <c r="H142">
        <v>39</v>
      </c>
      <c r="I142" s="2">
        <f>INT(DATE($B$3,1,1) + (2+0.5)*365/50)</f>
        <v>0</v>
      </c>
      <c r="J142" s="2">
        <f>I142 - INT(ROUND($B$4 * 30.4375, 0) * (39+0.5)/50)</f>
        <v>0</v>
      </c>
      <c r="K142" s="4">
        <f>VLOOKUP(J142, '1_Rate_Changes'!$A$2:$C$100, 3, TRUE)</f>
        <v>0</v>
      </c>
    </row>
    <row r="143" spans="7:11">
      <c r="G143">
        <v>2</v>
      </c>
      <c r="H143">
        <v>40</v>
      </c>
      <c r="I143" s="2">
        <f>INT(DATE($B$3,1,1) + (2+0.5)*365/50)</f>
        <v>0</v>
      </c>
      <c r="J143" s="2">
        <f>I143 - INT(ROUND($B$4 * 30.4375, 0) * (40+0.5)/50)</f>
        <v>0</v>
      </c>
      <c r="K143" s="4">
        <f>VLOOKUP(J143, '1_Rate_Changes'!$A$2:$C$100, 3, TRUE)</f>
        <v>0</v>
      </c>
    </row>
    <row r="144" spans="7:11">
      <c r="G144">
        <v>2</v>
      </c>
      <c r="H144">
        <v>41</v>
      </c>
      <c r="I144" s="2">
        <f>INT(DATE($B$3,1,1) + (2+0.5)*365/50)</f>
        <v>0</v>
      </c>
      <c r="J144" s="2">
        <f>I144 - INT(ROUND($B$4 * 30.4375, 0) * (41+0.5)/50)</f>
        <v>0</v>
      </c>
      <c r="K144" s="4">
        <f>VLOOKUP(J144, '1_Rate_Changes'!$A$2:$C$100, 3, TRUE)</f>
        <v>0</v>
      </c>
    </row>
    <row r="145" spans="7:11">
      <c r="G145">
        <v>2</v>
      </c>
      <c r="H145">
        <v>42</v>
      </c>
      <c r="I145" s="2">
        <f>INT(DATE($B$3,1,1) + (2+0.5)*365/50)</f>
        <v>0</v>
      </c>
      <c r="J145" s="2">
        <f>I145 - INT(ROUND($B$4 * 30.4375, 0) * (42+0.5)/50)</f>
        <v>0</v>
      </c>
      <c r="K145" s="4">
        <f>VLOOKUP(J145, '1_Rate_Changes'!$A$2:$C$100, 3, TRUE)</f>
        <v>0</v>
      </c>
    </row>
    <row r="146" spans="7:11">
      <c r="G146">
        <v>2</v>
      </c>
      <c r="H146">
        <v>43</v>
      </c>
      <c r="I146" s="2">
        <f>INT(DATE($B$3,1,1) + (2+0.5)*365/50)</f>
        <v>0</v>
      </c>
      <c r="J146" s="2">
        <f>I146 - INT(ROUND($B$4 * 30.4375, 0) * (43+0.5)/50)</f>
        <v>0</v>
      </c>
      <c r="K146" s="4">
        <f>VLOOKUP(J146, '1_Rate_Changes'!$A$2:$C$100, 3, TRUE)</f>
        <v>0</v>
      </c>
    </row>
    <row r="147" spans="7:11">
      <c r="G147">
        <v>2</v>
      </c>
      <c r="H147">
        <v>44</v>
      </c>
      <c r="I147" s="2">
        <f>INT(DATE($B$3,1,1) + (2+0.5)*365/50)</f>
        <v>0</v>
      </c>
      <c r="J147" s="2">
        <f>I147 - INT(ROUND($B$4 * 30.4375, 0) * (44+0.5)/50)</f>
        <v>0</v>
      </c>
      <c r="K147" s="4">
        <f>VLOOKUP(J147, '1_Rate_Changes'!$A$2:$C$100, 3, TRUE)</f>
        <v>0</v>
      </c>
    </row>
    <row r="148" spans="7:11">
      <c r="G148">
        <v>2</v>
      </c>
      <c r="H148">
        <v>45</v>
      </c>
      <c r="I148" s="2">
        <f>INT(DATE($B$3,1,1) + (2+0.5)*365/50)</f>
        <v>0</v>
      </c>
      <c r="J148" s="2">
        <f>I148 - INT(ROUND($B$4 * 30.4375, 0) * (45+0.5)/50)</f>
        <v>0</v>
      </c>
      <c r="K148" s="4">
        <f>VLOOKUP(J148, '1_Rate_Changes'!$A$2:$C$100, 3, TRUE)</f>
        <v>0</v>
      </c>
    </row>
    <row r="149" spans="7:11">
      <c r="G149">
        <v>2</v>
      </c>
      <c r="H149">
        <v>46</v>
      </c>
      <c r="I149" s="2">
        <f>INT(DATE($B$3,1,1) + (2+0.5)*365/50)</f>
        <v>0</v>
      </c>
      <c r="J149" s="2">
        <f>I149 - INT(ROUND($B$4 * 30.4375, 0) * (46+0.5)/50)</f>
        <v>0</v>
      </c>
      <c r="K149" s="4">
        <f>VLOOKUP(J149, '1_Rate_Changes'!$A$2:$C$100, 3, TRUE)</f>
        <v>0</v>
      </c>
    </row>
    <row r="150" spans="7:11">
      <c r="G150">
        <v>2</v>
      </c>
      <c r="H150">
        <v>47</v>
      </c>
      <c r="I150" s="2">
        <f>INT(DATE($B$3,1,1) + (2+0.5)*365/50)</f>
        <v>0</v>
      </c>
      <c r="J150" s="2">
        <f>I150 - INT(ROUND($B$4 * 30.4375, 0) * (47+0.5)/50)</f>
        <v>0</v>
      </c>
      <c r="K150" s="4">
        <f>VLOOKUP(J150, '1_Rate_Changes'!$A$2:$C$100, 3, TRUE)</f>
        <v>0</v>
      </c>
    </row>
    <row r="151" spans="7:11">
      <c r="G151">
        <v>2</v>
      </c>
      <c r="H151">
        <v>48</v>
      </c>
      <c r="I151" s="2">
        <f>INT(DATE($B$3,1,1) + (2+0.5)*365/50)</f>
        <v>0</v>
      </c>
      <c r="J151" s="2">
        <f>I151 - INT(ROUND($B$4 * 30.4375, 0) * (48+0.5)/50)</f>
        <v>0</v>
      </c>
      <c r="K151" s="4">
        <f>VLOOKUP(J151, '1_Rate_Changes'!$A$2:$C$100, 3, TRUE)</f>
        <v>0</v>
      </c>
    </row>
    <row r="152" spans="7:11">
      <c r="G152">
        <v>2</v>
      </c>
      <c r="H152">
        <v>49</v>
      </c>
      <c r="I152" s="2">
        <f>INT(DATE($B$3,1,1) + (2+0.5)*365/50)</f>
        <v>0</v>
      </c>
      <c r="J152" s="2">
        <f>I152 - INT(ROUND($B$4 * 30.4375, 0) * (49+0.5)/50)</f>
        <v>0</v>
      </c>
      <c r="K152" s="4">
        <f>VLOOKUP(J152, '1_Rate_Changes'!$A$2:$C$100, 3, TRUE)</f>
        <v>0</v>
      </c>
    </row>
    <row r="153" spans="7:11">
      <c r="G153">
        <v>3</v>
      </c>
      <c r="H153">
        <v>0</v>
      </c>
      <c r="I153" s="2">
        <f>INT(DATE($B$3,1,1) + (3+0.5)*365/50)</f>
        <v>0</v>
      </c>
      <c r="J153" s="2">
        <f>I153 - INT(ROUND($B$4 * 30.4375, 0) * (0+0.5)/50)</f>
        <v>0</v>
      </c>
      <c r="K153" s="4">
        <f>VLOOKUP(J153, '1_Rate_Changes'!$A$2:$C$100, 3, TRUE)</f>
        <v>0</v>
      </c>
    </row>
    <row r="154" spans="7:11">
      <c r="G154">
        <v>3</v>
      </c>
      <c r="H154">
        <v>1</v>
      </c>
      <c r="I154" s="2">
        <f>INT(DATE($B$3,1,1) + (3+0.5)*365/50)</f>
        <v>0</v>
      </c>
      <c r="J154" s="2">
        <f>I154 - INT(ROUND($B$4 * 30.4375, 0) * (1+0.5)/50)</f>
        <v>0</v>
      </c>
      <c r="K154" s="4">
        <f>VLOOKUP(J154, '1_Rate_Changes'!$A$2:$C$100, 3, TRUE)</f>
        <v>0</v>
      </c>
    </row>
    <row r="155" spans="7:11">
      <c r="G155">
        <v>3</v>
      </c>
      <c r="H155">
        <v>2</v>
      </c>
      <c r="I155" s="2">
        <f>INT(DATE($B$3,1,1) + (3+0.5)*365/50)</f>
        <v>0</v>
      </c>
      <c r="J155" s="2">
        <f>I155 - INT(ROUND($B$4 * 30.4375, 0) * (2+0.5)/50)</f>
        <v>0</v>
      </c>
      <c r="K155" s="4">
        <f>VLOOKUP(J155, '1_Rate_Changes'!$A$2:$C$100, 3, TRUE)</f>
        <v>0</v>
      </c>
    </row>
    <row r="156" spans="7:11">
      <c r="G156">
        <v>3</v>
      </c>
      <c r="H156">
        <v>3</v>
      </c>
      <c r="I156" s="2">
        <f>INT(DATE($B$3,1,1) + (3+0.5)*365/50)</f>
        <v>0</v>
      </c>
      <c r="J156" s="2">
        <f>I156 - INT(ROUND($B$4 * 30.4375, 0) * (3+0.5)/50)</f>
        <v>0</v>
      </c>
      <c r="K156" s="4">
        <f>VLOOKUP(J156, '1_Rate_Changes'!$A$2:$C$100, 3, TRUE)</f>
        <v>0</v>
      </c>
    </row>
    <row r="157" spans="7:11">
      <c r="G157">
        <v>3</v>
      </c>
      <c r="H157">
        <v>4</v>
      </c>
      <c r="I157" s="2">
        <f>INT(DATE($B$3,1,1) + (3+0.5)*365/50)</f>
        <v>0</v>
      </c>
      <c r="J157" s="2">
        <f>I157 - INT(ROUND($B$4 * 30.4375, 0) * (4+0.5)/50)</f>
        <v>0</v>
      </c>
      <c r="K157" s="4">
        <f>VLOOKUP(J157, '1_Rate_Changes'!$A$2:$C$100, 3, TRUE)</f>
        <v>0</v>
      </c>
    </row>
    <row r="158" spans="7:11">
      <c r="G158">
        <v>3</v>
      </c>
      <c r="H158">
        <v>5</v>
      </c>
      <c r="I158" s="2">
        <f>INT(DATE($B$3,1,1) + (3+0.5)*365/50)</f>
        <v>0</v>
      </c>
      <c r="J158" s="2">
        <f>I158 - INT(ROUND($B$4 * 30.4375, 0) * (5+0.5)/50)</f>
        <v>0</v>
      </c>
      <c r="K158" s="4">
        <f>VLOOKUP(J158, '1_Rate_Changes'!$A$2:$C$100, 3, TRUE)</f>
        <v>0</v>
      </c>
    </row>
    <row r="159" spans="7:11">
      <c r="G159">
        <v>3</v>
      </c>
      <c r="H159">
        <v>6</v>
      </c>
      <c r="I159" s="2">
        <f>INT(DATE($B$3,1,1) + (3+0.5)*365/50)</f>
        <v>0</v>
      </c>
      <c r="J159" s="2">
        <f>I159 - INT(ROUND($B$4 * 30.4375, 0) * (6+0.5)/50)</f>
        <v>0</v>
      </c>
      <c r="K159" s="4">
        <f>VLOOKUP(J159, '1_Rate_Changes'!$A$2:$C$100, 3, TRUE)</f>
        <v>0</v>
      </c>
    </row>
    <row r="160" spans="7:11">
      <c r="G160">
        <v>3</v>
      </c>
      <c r="H160">
        <v>7</v>
      </c>
      <c r="I160" s="2">
        <f>INT(DATE($B$3,1,1) + (3+0.5)*365/50)</f>
        <v>0</v>
      </c>
      <c r="J160" s="2">
        <f>I160 - INT(ROUND($B$4 * 30.4375, 0) * (7+0.5)/50)</f>
        <v>0</v>
      </c>
      <c r="K160" s="4">
        <f>VLOOKUP(J160, '1_Rate_Changes'!$A$2:$C$100, 3, TRUE)</f>
        <v>0</v>
      </c>
    </row>
    <row r="161" spans="7:11">
      <c r="G161">
        <v>3</v>
      </c>
      <c r="H161">
        <v>8</v>
      </c>
      <c r="I161" s="2">
        <f>INT(DATE($B$3,1,1) + (3+0.5)*365/50)</f>
        <v>0</v>
      </c>
      <c r="J161" s="2">
        <f>I161 - INT(ROUND($B$4 * 30.4375, 0) * (8+0.5)/50)</f>
        <v>0</v>
      </c>
      <c r="K161" s="4">
        <f>VLOOKUP(J161, '1_Rate_Changes'!$A$2:$C$100, 3, TRUE)</f>
        <v>0</v>
      </c>
    </row>
    <row r="162" spans="7:11">
      <c r="G162">
        <v>3</v>
      </c>
      <c r="H162">
        <v>9</v>
      </c>
      <c r="I162" s="2">
        <f>INT(DATE($B$3,1,1) + (3+0.5)*365/50)</f>
        <v>0</v>
      </c>
      <c r="J162" s="2">
        <f>I162 - INT(ROUND($B$4 * 30.4375, 0) * (9+0.5)/50)</f>
        <v>0</v>
      </c>
      <c r="K162" s="4">
        <f>VLOOKUP(J162, '1_Rate_Changes'!$A$2:$C$100, 3, TRUE)</f>
        <v>0</v>
      </c>
    </row>
    <row r="163" spans="7:11">
      <c r="G163">
        <v>3</v>
      </c>
      <c r="H163">
        <v>10</v>
      </c>
      <c r="I163" s="2">
        <f>INT(DATE($B$3,1,1) + (3+0.5)*365/50)</f>
        <v>0</v>
      </c>
      <c r="J163" s="2">
        <f>I163 - INT(ROUND($B$4 * 30.4375, 0) * (10+0.5)/50)</f>
        <v>0</v>
      </c>
      <c r="K163" s="4">
        <f>VLOOKUP(J163, '1_Rate_Changes'!$A$2:$C$100, 3, TRUE)</f>
        <v>0</v>
      </c>
    </row>
    <row r="164" spans="7:11">
      <c r="G164">
        <v>3</v>
      </c>
      <c r="H164">
        <v>11</v>
      </c>
      <c r="I164" s="2">
        <f>INT(DATE($B$3,1,1) + (3+0.5)*365/50)</f>
        <v>0</v>
      </c>
      <c r="J164" s="2">
        <f>I164 - INT(ROUND($B$4 * 30.4375, 0) * (11+0.5)/50)</f>
        <v>0</v>
      </c>
      <c r="K164" s="4">
        <f>VLOOKUP(J164, '1_Rate_Changes'!$A$2:$C$100, 3, TRUE)</f>
        <v>0</v>
      </c>
    </row>
    <row r="165" spans="7:11">
      <c r="G165">
        <v>3</v>
      </c>
      <c r="H165">
        <v>12</v>
      </c>
      <c r="I165" s="2">
        <f>INT(DATE($B$3,1,1) + (3+0.5)*365/50)</f>
        <v>0</v>
      </c>
      <c r="J165" s="2">
        <f>I165 - INT(ROUND($B$4 * 30.4375, 0) * (12+0.5)/50)</f>
        <v>0</v>
      </c>
      <c r="K165" s="4">
        <f>VLOOKUP(J165, '1_Rate_Changes'!$A$2:$C$100, 3, TRUE)</f>
        <v>0</v>
      </c>
    </row>
    <row r="166" spans="7:11">
      <c r="G166">
        <v>3</v>
      </c>
      <c r="H166">
        <v>13</v>
      </c>
      <c r="I166" s="2">
        <f>INT(DATE($B$3,1,1) + (3+0.5)*365/50)</f>
        <v>0</v>
      </c>
      <c r="J166" s="2">
        <f>I166 - INT(ROUND($B$4 * 30.4375, 0) * (13+0.5)/50)</f>
        <v>0</v>
      </c>
      <c r="K166" s="4">
        <f>VLOOKUP(J166, '1_Rate_Changes'!$A$2:$C$100, 3, TRUE)</f>
        <v>0</v>
      </c>
    </row>
    <row r="167" spans="7:11">
      <c r="G167">
        <v>3</v>
      </c>
      <c r="H167">
        <v>14</v>
      </c>
      <c r="I167" s="2">
        <f>INT(DATE($B$3,1,1) + (3+0.5)*365/50)</f>
        <v>0</v>
      </c>
      <c r="J167" s="2">
        <f>I167 - INT(ROUND($B$4 * 30.4375, 0) * (14+0.5)/50)</f>
        <v>0</v>
      </c>
      <c r="K167" s="4">
        <f>VLOOKUP(J167, '1_Rate_Changes'!$A$2:$C$100, 3, TRUE)</f>
        <v>0</v>
      </c>
    </row>
    <row r="168" spans="7:11">
      <c r="G168">
        <v>3</v>
      </c>
      <c r="H168">
        <v>15</v>
      </c>
      <c r="I168" s="2">
        <f>INT(DATE($B$3,1,1) + (3+0.5)*365/50)</f>
        <v>0</v>
      </c>
      <c r="J168" s="2">
        <f>I168 - INT(ROUND($B$4 * 30.4375, 0) * (15+0.5)/50)</f>
        <v>0</v>
      </c>
      <c r="K168" s="4">
        <f>VLOOKUP(J168, '1_Rate_Changes'!$A$2:$C$100, 3, TRUE)</f>
        <v>0</v>
      </c>
    </row>
    <row r="169" spans="7:11">
      <c r="G169">
        <v>3</v>
      </c>
      <c r="H169">
        <v>16</v>
      </c>
      <c r="I169" s="2">
        <f>INT(DATE($B$3,1,1) + (3+0.5)*365/50)</f>
        <v>0</v>
      </c>
      <c r="J169" s="2">
        <f>I169 - INT(ROUND($B$4 * 30.4375, 0) * (16+0.5)/50)</f>
        <v>0</v>
      </c>
      <c r="K169" s="4">
        <f>VLOOKUP(J169, '1_Rate_Changes'!$A$2:$C$100, 3, TRUE)</f>
        <v>0</v>
      </c>
    </row>
    <row r="170" spans="7:11">
      <c r="G170">
        <v>3</v>
      </c>
      <c r="H170">
        <v>17</v>
      </c>
      <c r="I170" s="2">
        <f>INT(DATE($B$3,1,1) + (3+0.5)*365/50)</f>
        <v>0</v>
      </c>
      <c r="J170" s="2">
        <f>I170 - INT(ROUND($B$4 * 30.4375, 0) * (17+0.5)/50)</f>
        <v>0</v>
      </c>
      <c r="K170" s="4">
        <f>VLOOKUP(J170, '1_Rate_Changes'!$A$2:$C$100, 3, TRUE)</f>
        <v>0</v>
      </c>
    </row>
    <row r="171" spans="7:11">
      <c r="G171">
        <v>3</v>
      </c>
      <c r="H171">
        <v>18</v>
      </c>
      <c r="I171" s="2">
        <f>INT(DATE($B$3,1,1) + (3+0.5)*365/50)</f>
        <v>0</v>
      </c>
      <c r="J171" s="2">
        <f>I171 - INT(ROUND($B$4 * 30.4375, 0) * (18+0.5)/50)</f>
        <v>0</v>
      </c>
      <c r="K171" s="4">
        <f>VLOOKUP(J171, '1_Rate_Changes'!$A$2:$C$100, 3, TRUE)</f>
        <v>0</v>
      </c>
    </row>
    <row r="172" spans="7:11">
      <c r="G172">
        <v>3</v>
      </c>
      <c r="H172">
        <v>19</v>
      </c>
      <c r="I172" s="2">
        <f>INT(DATE($B$3,1,1) + (3+0.5)*365/50)</f>
        <v>0</v>
      </c>
      <c r="J172" s="2">
        <f>I172 - INT(ROUND($B$4 * 30.4375, 0) * (19+0.5)/50)</f>
        <v>0</v>
      </c>
      <c r="K172" s="4">
        <f>VLOOKUP(J172, '1_Rate_Changes'!$A$2:$C$100, 3, TRUE)</f>
        <v>0</v>
      </c>
    </row>
    <row r="173" spans="7:11">
      <c r="G173">
        <v>3</v>
      </c>
      <c r="H173">
        <v>20</v>
      </c>
      <c r="I173" s="2">
        <f>INT(DATE($B$3,1,1) + (3+0.5)*365/50)</f>
        <v>0</v>
      </c>
      <c r="J173" s="2">
        <f>I173 - INT(ROUND($B$4 * 30.4375, 0) * (20+0.5)/50)</f>
        <v>0</v>
      </c>
      <c r="K173" s="4">
        <f>VLOOKUP(J173, '1_Rate_Changes'!$A$2:$C$100, 3, TRUE)</f>
        <v>0</v>
      </c>
    </row>
    <row r="174" spans="7:11">
      <c r="G174">
        <v>3</v>
      </c>
      <c r="H174">
        <v>21</v>
      </c>
      <c r="I174" s="2">
        <f>INT(DATE($B$3,1,1) + (3+0.5)*365/50)</f>
        <v>0</v>
      </c>
      <c r="J174" s="2">
        <f>I174 - INT(ROUND($B$4 * 30.4375, 0) * (21+0.5)/50)</f>
        <v>0</v>
      </c>
      <c r="K174" s="4">
        <f>VLOOKUP(J174, '1_Rate_Changes'!$A$2:$C$100, 3, TRUE)</f>
        <v>0</v>
      </c>
    </row>
    <row r="175" spans="7:11">
      <c r="G175">
        <v>3</v>
      </c>
      <c r="H175">
        <v>22</v>
      </c>
      <c r="I175" s="2">
        <f>INT(DATE($B$3,1,1) + (3+0.5)*365/50)</f>
        <v>0</v>
      </c>
      <c r="J175" s="2">
        <f>I175 - INT(ROUND($B$4 * 30.4375, 0) * (22+0.5)/50)</f>
        <v>0</v>
      </c>
      <c r="K175" s="4">
        <f>VLOOKUP(J175, '1_Rate_Changes'!$A$2:$C$100, 3, TRUE)</f>
        <v>0</v>
      </c>
    </row>
    <row r="176" spans="7:11">
      <c r="G176">
        <v>3</v>
      </c>
      <c r="H176">
        <v>23</v>
      </c>
      <c r="I176" s="2">
        <f>INT(DATE($B$3,1,1) + (3+0.5)*365/50)</f>
        <v>0</v>
      </c>
      <c r="J176" s="2">
        <f>I176 - INT(ROUND($B$4 * 30.4375, 0) * (23+0.5)/50)</f>
        <v>0</v>
      </c>
      <c r="K176" s="4">
        <f>VLOOKUP(J176, '1_Rate_Changes'!$A$2:$C$100, 3, TRUE)</f>
        <v>0</v>
      </c>
    </row>
    <row r="177" spans="7:11">
      <c r="G177">
        <v>3</v>
      </c>
      <c r="H177">
        <v>24</v>
      </c>
      <c r="I177" s="2">
        <f>INT(DATE($B$3,1,1) + (3+0.5)*365/50)</f>
        <v>0</v>
      </c>
      <c r="J177" s="2">
        <f>I177 - INT(ROUND($B$4 * 30.4375, 0) * (24+0.5)/50)</f>
        <v>0</v>
      </c>
      <c r="K177" s="4">
        <f>VLOOKUP(J177, '1_Rate_Changes'!$A$2:$C$100, 3, TRUE)</f>
        <v>0</v>
      </c>
    </row>
    <row r="178" spans="7:11">
      <c r="G178">
        <v>3</v>
      </c>
      <c r="H178">
        <v>25</v>
      </c>
      <c r="I178" s="2">
        <f>INT(DATE($B$3,1,1) + (3+0.5)*365/50)</f>
        <v>0</v>
      </c>
      <c r="J178" s="2">
        <f>I178 - INT(ROUND($B$4 * 30.4375, 0) * (25+0.5)/50)</f>
        <v>0</v>
      </c>
      <c r="K178" s="4">
        <f>VLOOKUP(J178, '1_Rate_Changes'!$A$2:$C$100, 3, TRUE)</f>
        <v>0</v>
      </c>
    </row>
    <row r="179" spans="7:11">
      <c r="G179">
        <v>3</v>
      </c>
      <c r="H179">
        <v>26</v>
      </c>
      <c r="I179" s="2">
        <f>INT(DATE($B$3,1,1) + (3+0.5)*365/50)</f>
        <v>0</v>
      </c>
      <c r="J179" s="2">
        <f>I179 - INT(ROUND($B$4 * 30.4375, 0) * (26+0.5)/50)</f>
        <v>0</v>
      </c>
      <c r="K179" s="4">
        <f>VLOOKUP(J179, '1_Rate_Changes'!$A$2:$C$100, 3, TRUE)</f>
        <v>0</v>
      </c>
    </row>
    <row r="180" spans="7:11">
      <c r="G180">
        <v>3</v>
      </c>
      <c r="H180">
        <v>27</v>
      </c>
      <c r="I180" s="2">
        <f>INT(DATE($B$3,1,1) + (3+0.5)*365/50)</f>
        <v>0</v>
      </c>
      <c r="J180" s="2">
        <f>I180 - INT(ROUND($B$4 * 30.4375, 0) * (27+0.5)/50)</f>
        <v>0</v>
      </c>
      <c r="K180" s="4">
        <f>VLOOKUP(J180, '1_Rate_Changes'!$A$2:$C$100, 3, TRUE)</f>
        <v>0</v>
      </c>
    </row>
    <row r="181" spans="7:11">
      <c r="G181">
        <v>3</v>
      </c>
      <c r="H181">
        <v>28</v>
      </c>
      <c r="I181" s="2">
        <f>INT(DATE($B$3,1,1) + (3+0.5)*365/50)</f>
        <v>0</v>
      </c>
      <c r="J181" s="2">
        <f>I181 - INT(ROUND($B$4 * 30.4375, 0) * (28+0.5)/50)</f>
        <v>0</v>
      </c>
      <c r="K181" s="4">
        <f>VLOOKUP(J181, '1_Rate_Changes'!$A$2:$C$100, 3, TRUE)</f>
        <v>0</v>
      </c>
    </row>
    <row r="182" spans="7:11">
      <c r="G182">
        <v>3</v>
      </c>
      <c r="H182">
        <v>29</v>
      </c>
      <c r="I182" s="2">
        <f>INT(DATE($B$3,1,1) + (3+0.5)*365/50)</f>
        <v>0</v>
      </c>
      <c r="J182" s="2">
        <f>I182 - INT(ROUND($B$4 * 30.4375, 0) * (29+0.5)/50)</f>
        <v>0</v>
      </c>
      <c r="K182" s="4">
        <f>VLOOKUP(J182, '1_Rate_Changes'!$A$2:$C$100, 3, TRUE)</f>
        <v>0</v>
      </c>
    </row>
    <row r="183" spans="7:11">
      <c r="G183">
        <v>3</v>
      </c>
      <c r="H183">
        <v>30</v>
      </c>
      <c r="I183" s="2">
        <f>INT(DATE($B$3,1,1) + (3+0.5)*365/50)</f>
        <v>0</v>
      </c>
      <c r="J183" s="2">
        <f>I183 - INT(ROUND($B$4 * 30.4375, 0) * (30+0.5)/50)</f>
        <v>0</v>
      </c>
      <c r="K183" s="4">
        <f>VLOOKUP(J183, '1_Rate_Changes'!$A$2:$C$100, 3, TRUE)</f>
        <v>0</v>
      </c>
    </row>
    <row r="184" spans="7:11">
      <c r="G184">
        <v>3</v>
      </c>
      <c r="H184">
        <v>31</v>
      </c>
      <c r="I184" s="2">
        <f>INT(DATE($B$3,1,1) + (3+0.5)*365/50)</f>
        <v>0</v>
      </c>
      <c r="J184" s="2">
        <f>I184 - INT(ROUND($B$4 * 30.4375, 0) * (31+0.5)/50)</f>
        <v>0</v>
      </c>
      <c r="K184" s="4">
        <f>VLOOKUP(J184, '1_Rate_Changes'!$A$2:$C$100, 3, TRUE)</f>
        <v>0</v>
      </c>
    </row>
    <row r="185" spans="7:11">
      <c r="G185">
        <v>3</v>
      </c>
      <c r="H185">
        <v>32</v>
      </c>
      <c r="I185" s="2">
        <f>INT(DATE($B$3,1,1) + (3+0.5)*365/50)</f>
        <v>0</v>
      </c>
      <c r="J185" s="2">
        <f>I185 - INT(ROUND($B$4 * 30.4375, 0) * (32+0.5)/50)</f>
        <v>0</v>
      </c>
      <c r="K185" s="4">
        <f>VLOOKUP(J185, '1_Rate_Changes'!$A$2:$C$100, 3, TRUE)</f>
        <v>0</v>
      </c>
    </row>
    <row r="186" spans="7:11">
      <c r="G186">
        <v>3</v>
      </c>
      <c r="H186">
        <v>33</v>
      </c>
      <c r="I186" s="2">
        <f>INT(DATE($B$3,1,1) + (3+0.5)*365/50)</f>
        <v>0</v>
      </c>
      <c r="J186" s="2">
        <f>I186 - INT(ROUND($B$4 * 30.4375, 0) * (33+0.5)/50)</f>
        <v>0</v>
      </c>
      <c r="K186" s="4">
        <f>VLOOKUP(J186, '1_Rate_Changes'!$A$2:$C$100, 3, TRUE)</f>
        <v>0</v>
      </c>
    </row>
    <row r="187" spans="7:11">
      <c r="G187">
        <v>3</v>
      </c>
      <c r="H187">
        <v>34</v>
      </c>
      <c r="I187" s="2">
        <f>INT(DATE($B$3,1,1) + (3+0.5)*365/50)</f>
        <v>0</v>
      </c>
      <c r="J187" s="2">
        <f>I187 - INT(ROUND($B$4 * 30.4375, 0) * (34+0.5)/50)</f>
        <v>0</v>
      </c>
      <c r="K187" s="4">
        <f>VLOOKUP(J187, '1_Rate_Changes'!$A$2:$C$100, 3, TRUE)</f>
        <v>0</v>
      </c>
    </row>
    <row r="188" spans="7:11">
      <c r="G188">
        <v>3</v>
      </c>
      <c r="H188">
        <v>35</v>
      </c>
      <c r="I188" s="2">
        <f>INT(DATE($B$3,1,1) + (3+0.5)*365/50)</f>
        <v>0</v>
      </c>
      <c r="J188" s="2">
        <f>I188 - INT(ROUND($B$4 * 30.4375, 0) * (35+0.5)/50)</f>
        <v>0</v>
      </c>
      <c r="K188" s="4">
        <f>VLOOKUP(J188, '1_Rate_Changes'!$A$2:$C$100, 3, TRUE)</f>
        <v>0</v>
      </c>
    </row>
    <row r="189" spans="7:11">
      <c r="G189">
        <v>3</v>
      </c>
      <c r="H189">
        <v>36</v>
      </c>
      <c r="I189" s="2">
        <f>INT(DATE($B$3,1,1) + (3+0.5)*365/50)</f>
        <v>0</v>
      </c>
      <c r="J189" s="2">
        <f>I189 - INT(ROUND($B$4 * 30.4375, 0) * (36+0.5)/50)</f>
        <v>0</v>
      </c>
      <c r="K189" s="4">
        <f>VLOOKUP(J189, '1_Rate_Changes'!$A$2:$C$100, 3, TRUE)</f>
        <v>0</v>
      </c>
    </row>
    <row r="190" spans="7:11">
      <c r="G190">
        <v>3</v>
      </c>
      <c r="H190">
        <v>37</v>
      </c>
      <c r="I190" s="2">
        <f>INT(DATE($B$3,1,1) + (3+0.5)*365/50)</f>
        <v>0</v>
      </c>
      <c r="J190" s="2">
        <f>I190 - INT(ROUND($B$4 * 30.4375, 0) * (37+0.5)/50)</f>
        <v>0</v>
      </c>
      <c r="K190" s="4">
        <f>VLOOKUP(J190, '1_Rate_Changes'!$A$2:$C$100, 3, TRUE)</f>
        <v>0</v>
      </c>
    </row>
    <row r="191" spans="7:11">
      <c r="G191">
        <v>3</v>
      </c>
      <c r="H191">
        <v>38</v>
      </c>
      <c r="I191" s="2">
        <f>INT(DATE($B$3,1,1) + (3+0.5)*365/50)</f>
        <v>0</v>
      </c>
      <c r="J191" s="2">
        <f>I191 - INT(ROUND($B$4 * 30.4375, 0) * (38+0.5)/50)</f>
        <v>0</v>
      </c>
      <c r="K191" s="4">
        <f>VLOOKUP(J191, '1_Rate_Changes'!$A$2:$C$100, 3, TRUE)</f>
        <v>0</v>
      </c>
    </row>
    <row r="192" spans="7:11">
      <c r="G192">
        <v>3</v>
      </c>
      <c r="H192">
        <v>39</v>
      </c>
      <c r="I192" s="2">
        <f>INT(DATE($B$3,1,1) + (3+0.5)*365/50)</f>
        <v>0</v>
      </c>
      <c r="J192" s="2">
        <f>I192 - INT(ROUND($B$4 * 30.4375, 0) * (39+0.5)/50)</f>
        <v>0</v>
      </c>
      <c r="K192" s="4">
        <f>VLOOKUP(J192, '1_Rate_Changes'!$A$2:$C$100, 3, TRUE)</f>
        <v>0</v>
      </c>
    </row>
    <row r="193" spans="7:11">
      <c r="G193">
        <v>3</v>
      </c>
      <c r="H193">
        <v>40</v>
      </c>
      <c r="I193" s="2">
        <f>INT(DATE($B$3,1,1) + (3+0.5)*365/50)</f>
        <v>0</v>
      </c>
      <c r="J193" s="2">
        <f>I193 - INT(ROUND($B$4 * 30.4375, 0) * (40+0.5)/50)</f>
        <v>0</v>
      </c>
      <c r="K193" s="4">
        <f>VLOOKUP(J193, '1_Rate_Changes'!$A$2:$C$100, 3, TRUE)</f>
        <v>0</v>
      </c>
    </row>
    <row r="194" spans="7:11">
      <c r="G194">
        <v>3</v>
      </c>
      <c r="H194">
        <v>41</v>
      </c>
      <c r="I194" s="2">
        <f>INT(DATE($B$3,1,1) + (3+0.5)*365/50)</f>
        <v>0</v>
      </c>
      <c r="J194" s="2">
        <f>I194 - INT(ROUND($B$4 * 30.4375, 0) * (41+0.5)/50)</f>
        <v>0</v>
      </c>
      <c r="K194" s="4">
        <f>VLOOKUP(J194, '1_Rate_Changes'!$A$2:$C$100, 3, TRUE)</f>
        <v>0</v>
      </c>
    </row>
    <row r="195" spans="7:11">
      <c r="G195">
        <v>3</v>
      </c>
      <c r="H195">
        <v>42</v>
      </c>
      <c r="I195" s="2">
        <f>INT(DATE($B$3,1,1) + (3+0.5)*365/50)</f>
        <v>0</v>
      </c>
      <c r="J195" s="2">
        <f>I195 - INT(ROUND($B$4 * 30.4375, 0) * (42+0.5)/50)</f>
        <v>0</v>
      </c>
      <c r="K195" s="4">
        <f>VLOOKUP(J195, '1_Rate_Changes'!$A$2:$C$100, 3, TRUE)</f>
        <v>0</v>
      </c>
    </row>
    <row r="196" spans="7:11">
      <c r="G196">
        <v>3</v>
      </c>
      <c r="H196">
        <v>43</v>
      </c>
      <c r="I196" s="2">
        <f>INT(DATE($B$3,1,1) + (3+0.5)*365/50)</f>
        <v>0</v>
      </c>
      <c r="J196" s="2">
        <f>I196 - INT(ROUND($B$4 * 30.4375, 0) * (43+0.5)/50)</f>
        <v>0</v>
      </c>
      <c r="K196" s="4">
        <f>VLOOKUP(J196, '1_Rate_Changes'!$A$2:$C$100, 3, TRUE)</f>
        <v>0</v>
      </c>
    </row>
    <row r="197" spans="7:11">
      <c r="G197">
        <v>3</v>
      </c>
      <c r="H197">
        <v>44</v>
      </c>
      <c r="I197" s="2">
        <f>INT(DATE($B$3,1,1) + (3+0.5)*365/50)</f>
        <v>0</v>
      </c>
      <c r="J197" s="2">
        <f>I197 - INT(ROUND($B$4 * 30.4375, 0) * (44+0.5)/50)</f>
        <v>0</v>
      </c>
      <c r="K197" s="4">
        <f>VLOOKUP(J197, '1_Rate_Changes'!$A$2:$C$100, 3, TRUE)</f>
        <v>0</v>
      </c>
    </row>
    <row r="198" spans="7:11">
      <c r="G198">
        <v>3</v>
      </c>
      <c r="H198">
        <v>45</v>
      </c>
      <c r="I198" s="2">
        <f>INT(DATE($B$3,1,1) + (3+0.5)*365/50)</f>
        <v>0</v>
      </c>
      <c r="J198" s="2">
        <f>I198 - INT(ROUND($B$4 * 30.4375, 0) * (45+0.5)/50)</f>
        <v>0</v>
      </c>
      <c r="K198" s="4">
        <f>VLOOKUP(J198, '1_Rate_Changes'!$A$2:$C$100, 3, TRUE)</f>
        <v>0</v>
      </c>
    </row>
    <row r="199" spans="7:11">
      <c r="G199">
        <v>3</v>
      </c>
      <c r="H199">
        <v>46</v>
      </c>
      <c r="I199" s="2">
        <f>INT(DATE($B$3,1,1) + (3+0.5)*365/50)</f>
        <v>0</v>
      </c>
      <c r="J199" s="2">
        <f>I199 - INT(ROUND($B$4 * 30.4375, 0) * (46+0.5)/50)</f>
        <v>0</v>
      </c>
      <c r="K199" s="4">
        <f>VLOOKUP(J199, '1_Rate_Changes'!$A$2:$C$100, 3, TRUE)</f>
        <v>0</v>
      </c>
    </row>
    <row r="200" spans="7:11">
      <c r="G200">
        <v>3</v>
      </c>
      <c r="H200">
        <v>47</v>
      </c>
      <c r="I200" s="2">
        <f>INT(DATE($B$3,1,1) + (3+0.5)*365/50)</f>
        <v>0</v>
      </c>
      <c r="J200" s="2">
        <f>I200 - INT(ROUND($B$4 * 30.4375, 0) * (47+0.5)/50)</f>
        <v>0</v>
      </c>
      <c r="K200" s="4">
        <f>VLOOKUP(J200, '1_Rate_Changes'!$A$2:$C$100, 3, TRUE)</f>
        <v>0</v>
      </c>
    </row>
    <row r="201" spans="7:11">
      <c r="G201">
        <v>3</v>
      </c>
      <c r="H201">
        <v>48</v>
      </c>
      <c r="I201" s="2">
        <f>INT(DATE($B$3,1,1) + (3+0.5)*365/50)</f>
        <v>0</v>
      </c>
      <c r="J201" s="2">
        <f>I201 - INT(ROUND($B$4 * 30.4375, 0) * (48+0.5)/50)</f>
        <v>0</v>
      </c>
      <c r="K201" s="4">
        <f>VLOOKUP(J201, '1_Rate_Changes'!$A$2:$C$100, 3, TRUE)</f>
        <v>0</v>
      </c>
    </row>
    <row r="202" spans="7:11">
      <c r="G202">
        <v>3</v>
      </c>
      <c r="H202">
        <v>49</v>
      </c>
      <c r="I202" s="2">
        <f>INT(DATE($B$3,1,1) + (3+0.5)*365/50)</f>
        <v>0</v>
      </c>
      <c r="J202" s="2">
        <f>I202 - INT(ROUND($B$4 * 30.4375, 0) * (49+0.5)/50)</f>
        <v>0</v>
      </c>
      <c r="K202" s="4">
        <f>VLOOKUP(J202, '1_Rate_Changes'!$A$2:$C$100, 3, TRUE)</f>
        <v>0</v>
      </c>
    </row>
    <row r="203" spans="7:11">
      <c r="G203">
        <v>4</v>
      </c>
      <c r="H203">
        <v>0</v>
      </c>
      <c r="I203" s="2">
        <f>INT(DATE($B$3,1,1) + (4+0.5)*365/50)</f>
        <v>0</v>
      </c>
      <c r="J203" s="2">
        <f>I203 - INT(ROUND($B$4 * 30.4375, 0) * (0+0.5)/50)</f>
        <v>0</v>
      </c>
      <c r="K203" s="4">
        <f>VLOOKUP(J203, '1_Rate_Changes'!$A$2:$C$100, 3, TRUE)</f>
        <v>0</v>
      </c>
    </row>
    <row r="204" spans="7:11">
      <c r="G204">
        <v>4</v>
      </c>
      <c r="H204">
        <v>1</v>
      </c>
      <c r="I204" s="2">
        <f>INT(DATE($B$3,1,1) + (4+0.5)*365/50)</f>
        <v>0</v>
      </c>
      <c r="J204" s="2">
        <f>I204 - INT(ROUND($B$4 * 30.4375, 0) * (1+0.5)/50)</f>
        <v>0</v>
      </c>
      <c r="K204" s="4">
        <f>VLOOKUP(J204, '1_Rate_Changes'!$A$2:$C$100, 3, TRUE)</f>
        <v>0</v>
      </c>
    </row>
    <row r="205" spans="7:11">
      <c r="G205">
        <v>4</v>
      </c>
      <c r="H205">
        <v>2</v>
      </c>
      <c r="I205" s="2">
        <f>INT(DATE($B$3,1,1) + (4+0.5)*365/50)</f>
        <v>0</v>
      </c>
      <c r="J205" s="2">
        <f>I205 - INT(ROUND($B$4 * 30.4375, 0) * (2+0.5)/50)</f>
        <v>0</v>
      </c>
      <c r="K205" s="4">
        <f>VLOOKUP(J205, '1_Rate_Changes'!$A$2:$C$100, 3, TRUE)</f>
        <v>0</v>
      </c>
    </row>
    <row r="206" spans="7:11">
      <c r="G206">
        <v>4</v>
      </c>
      <c r="H206">
        <v>3</v>
      </c>
      <c r="I206" s="2">
        <f>INT(DATE($B$3,1,1) + (4+0.5)*365/50)</f>
        <v>0</v>
      </c>
      <c r="J206" s="2">
        <f>I206 - INT(ROUND($B$4 * 30.4375, 0) * (3+0.5)/50)</f>
        <v>0</v>
      </c>
      <c r="K206" s="4">
        <f>VLOOKUP(J206, '1_Rate_Changes'!$A$2:$C$100, 3, TRUE)</f>
        <v>0</v>
      </c>
    </row>
    <row r="207" spans="7:11">
      <c r="G207">
        <v>4</v>
      </c>
      <c r="H207">
        <v>4</v>
      </c>
      <c r="I207" s="2">
        <f>INT(DATE($B$3,1,1) + (4+0.5)*365/50)</f>
        <v>0</v>
      </c>
      <c r="J207" s="2">
        <f>I207 - INT(ROUND($B$4 * 30.4375, 0) * (4+0.5)/50)</f>
        <v>0</v>
      </c>
      <c r="K207" s="4">
        <f>VLOOKUP(J207, '1_Rate_Changes'!$A$2:$C$100, 3, TRUE)</f>
        <v>0</v>
      </c>
    </row>
    <row r="208" spans="7:11">
      <c r="G208">
        <v>4</v>
      </c>
      <c r="H208">
        <v>5</v>
      </c>
      <c r="I208" s="2">
        <f>INT(DATE($B$3,1,1) + (4+0.5)*365/50)</f>
        <v>0</v>
      </c>
      <c r="J208" s="2">
        <f>I208 - INT(ROUND($B$4 * 30.4375, 0) * (5+0.5)/50)</f>
        <v>0</v>
      </c>
      <c r="K208" s="4">
        <f>VLOOKUP(J208, '1_Rate_Changes'!$A$2:$C$100, 3, TRUE)</f>
        <v>0</v>
      </c>
    </row>
    <row r="209" spans="7:11">
      <c r="G209">
        <v>4</v>
      </c>
      <c r="H209">
        <v>6</v>
      </c>
      <c r="I209" s="2">
        <f>INT(DATE($B$3,1,1) + (4+0.5)*365/50)</f>
        <v>0</v>
      </c>
      <c r="J209" s="2">
        <f>I209 - INT(ROUND($B$4 * 30.4375, 0) * (6+0.5)/50)</f>
        <v>0</v>
      </c>
      <c r="K209" s="4">
        <f>VLOOKUP(J209, '1_Rate_Changes'!$A$2:$C$100, 3, TRUE)</f>
        <v>0</v>
      </c>
    </row>
    <row r="210" spans="7:11">
      <c r="G210">
        <v>4</v>
      </c>
      <c r="H210">
        <v>7</v>
      </c>
      <c r="I210" s="2">
        <f>INT(DATE($B$3,1,1) + (4+0.5)*365/50)</f>
        <v>0</v>
      </c>
      <c r="J210" s="2">
        <f>I210 - INT(ROUND($B$4 * 30.4375, 0) * (7+0.5)/50)</f>
        <v>0</v>
      </c>
      <c r="K210" s="4">
        <f>VLOOKUP(J210, '1_Rate_Changes'!$A$2:$C$100, 3, TRUE)</f>
        <v>0</v>
      </c>
    </row>
    <row r="211" spans="7:11">
      <c r="G211">
        <v>4</v>
      </c>
      <c r="H211">
        <v>8</v>
      </c>
      <c r="I211" s="2">
        <f>INT(DATE($B$3,1,1) + (4+0.5)*365/50)</f>
        <v>0</v>
      </c>
      <c r="J211" s="2">
        <f>I211 - INT(ROUND($B$4 * 30.4375, 0) * (8+0.5)/50)</f>
        <v>0</v>
      </c>
      <c r="K211" s="4">
        <f>VLOOKUP(J211, '1_Rate_Changes'!$A$2:$C$100, 3, TRUE)</f>
        <v>0</v>
      </c>
    </row>
    <row r="212" spans="7:11">
      <c r="G212">
        <v>4</v>
      </c>
      <c r="H212">
        <v>9</v>
      </c>
      <c r="I212" s="2">
        <f>INT(DATE($B$3,1,1) + (4+0.5)*365/50)</f>
        <v>0</v>
      </c>
      <c r="J212" s="2">
        <f>I212 - INT(ROUND($B$4 * 30.4375, 0) * (9+0.5)/50)</f>
        <v>0</v>
      </c>
      <c r="K212" s="4">
        <f>VLOOKUP(J212, '1_Rate_Changes'!$A$2:$C$100, 3, TRUE)</f>
        <v>0</v>
      </c>
    </row>
    <row r="213" spans="7:11">
      <c r="G213">
        <v>4</v>
      </c>
      <c r="H213">
        <v>10</v>
      </c>
      <c r="I213" s="2">
        <f>INT(DATE($B$3,1,1) + (4+0.5)*365/50)</f>
        <v>0</v>
      </c>
      <c r="J213" s="2">
        <f>I213 - INT(ROUND($B$4 * 30.4375, 0) * (10+0.5)/50)</f>
        <v>0</v>
      </c>
      <c r="K213" s="4">
        <f>VLOOKUP(J213, '1_Rate_Changes'!$A$2:$C$100, 3, TRUE)</f>
        <v>0</v>
      </c>
    </row>
    <row r="214" spans="7:11">
      <c r="G214">
        <v>4</v>
      </c>
      <c r="H214">
        <v>11</v>
      </c>
      <c r="I214" s="2">
        <f>INT(DATE($B$3,1,1) + (4+0.5)*365/50)</f>
        <v>0</v>
      </c>
      <c r="J214" s="2">
        <f>I214 - INT(ROUND($B$4 * 30.4375, 0) * (11+0.5)/50)</f>
        <v>0</v>
      </c>
      <c r="K214" s="4">
        <f>VLOOKUP(J214, '1_Rate_Changes'!$A$2:$C$100, 3, TRUE)</f>
        <v>0</v>
      </c>
    </row>
    <row r="215" spans="7:11">
      <c r="G215">
        <v>4</v>
      </c>
      <c r="H215">
        <v>12</v>
      </c>
      <c r="I215" s="2">
        <f>INT(DATE($B$3,1,1) + (4+0.5)*365/50)</f>
        <v>0</v>
      </c>
      <c r="J215" s="2">
        <f>I215 - INT(ROUND($B$4 * 30.4375, 0) * (12+0.5)/50)</f>
        <v>0</v>
      </c>
      <c r="K215" s="4">
        <f>VLOOKUP(J215, '1_Rate_Changes'!$A$2:$C$100, 3, TRUE)</f>
        <v>0</v>
      </c>
    </row>
    <row r="216" spans="7:11">
      <c r="G216">
        <v>4</v>
      </c>
      <c r="H216">
        <v>13</v>
      </c>
      <c r="I216" s="2">
        <f>INT(DATE($B$3,1,1) + (4+0.5)*365/50)</f>
        <v>0</v>
      </c>
      <c r="J216" s="2">
        <f>I216 - INT(ROUND($B$4 * 30.4375, 0) * (13+0.5)/50)</f>
        <v>0</v>
      </c>
      <c r="K216" s="4">
        <f>VLOOKUP(J216, '1_Rate_Changes'!$A$2:$C$100, 3, TRUE)</f>
        <v>0</v>
      </c>
    </row>
    <row r="217" spans="7:11">
      <c r="G217">
        <v>4</v>
      </c>
      <c r="H217">
        <v>14</v>
      </c>
      <c r="I217" s="2">
        <f>INT(DATE($B$3,1,1) + (4+0.5)*365/50)</f>
        <v>0</v>
      </c>
      <c r="J217" s="2">
        <f>I217 - INT(ROUND($B$4 * 30.4375, 0) * (14+0.5)/50)</f>
        <v>0</v>
      </c>
      <c r="K217" s="4">
        <f>VLOOKUP(J217, '1_Rate_Changes'!$A$2:$C$100, 3, TRUE)</f>
        <v>0</v>
      </c>
    </row>
    <row r="218" spans="7:11">
      <c r="G218">
        <v>4</v>
      </c>
      <c r="H218">
        <v>15</v>
      </c>
      <c r="I218" s="2">
        <f>INT(DATE($B$3,1,1) + (4+0.5)*365/50)</f>
        <v>0</v>
      </c>
      <c r="J218" s="2">
        <f>I218 - INT(ROUND($B$4 * 30.4375, 0) * (15+0.5)/50)</f>
        <v>0</v>
      </c>
      <c r="K218" s="4">
        <f>VLOOKUP(J218, '1_Rate_Changes'!$A$2:$C$100, 3, TRUE)</f>
        <v>0</v>
      </c>
    </row>
    <row r="219" spans="7:11">
      <c r="G219">
        <v>4</v>
      </c>
      <c r="H219">
        <v>16</v>
      </c>
      <c r="I219" s="2">
        <f>INT(DATE($B$3,1,1) + (4+0.5)*365/50)</f>
        <v>0</v>
      </c>
      <c r="J219" s="2">
        <f>I219 - INT(ROUND($B$4 * 30.4375, 0) * (16+0.5)/50)</f>
        <v>0</v>
      </c>
      <c r="K219" s="4">
        <f>VLOOKUP(J219, '1_Rate_Changes'!$A$2:$C$100, 3, TRUE)</f>
        <v>0</v>
      </c>
    </row>
    <row r="220" spans="7:11">
      <c r="G220">
        <v>4</v>
      </c>
      <c r="H220">
        <v>17</v>
      </c>
      <c r="I220" s="2">
        <f>INT(DATE($B$3,1,1) + (4+0.5)*365/50)</f>
        <v>0</v>
      </c>
      <c r="J220" s="2">
        <f>I220 - INT(ROUND($B$4 * 30.4375, 0) * (17+0.5)/50)</f>
        <v>0</v>
      </c>
      <c r="K220" s="4">
        <f>VLOOKUP(J220, '1_Rate_Changes'!$A$2:$C$100, 3, TRUE)</f>
        <v>0</v>
      </c>
    </row>
    <row r="221" spans="7:11">
      <c r="G221">
        <v>4</v>
      </c>
      <c r="H221">
        <v>18</v>
      </c>
      <c r="I221" s="2">
        <f>INT(DATE($B$3,1,1) + (4+0.5)*365/50)</f>
        <v>0</v>
      </c>
      <c r="J221" s="2">
        <f>I221 - INT(ROUND($B$4 * 30.4375, 0) * (18+0.5)/50)</f>
        <v>0</v>
      </c>
      <c r="K221" s="4">
        <f>VLOOKUP(J221, '1_Rate_Changes'!$A$2:$C$100, 3, TRUE)</f>
        <v>0</v>
      </c>
    </row>
    <row r="222" spans="7:11">
      <c r="G222">
        <v>4</v>
      </c>
      <c r="H222">
        <v>19</v>
      </c>
      <c r="I222" s="2">
        <f>INT(DATE($B$3,1,1) + (4+0.5)*365/50)</f>
        <v>0</v>
      </c>
      <c r="J222" s="2">
        <f>I222 - INT(ROUND($B$4 * 30.4375, 0) * (19+0.5)/50)</f>
        <v>0</v>
      </c>
      <c r="K222" s="4">
        <f>VLOOKUP(J222, '1_Rate_Changes'!$A$2:$C$100, 3, TRUE)</f>
        <v>0</v>
      </c>
    </row>
    <row r="223" spans="7:11">
      <c r="G223">
        <v>4</v>
      </c>
      <c r="H223">
        <v>20</v>
      </c>
      <c r="I223" s="2">
        <f>INT(DATE($B$3,1,1) + (4+0.5)*365/50)</f>
        <v>0</v>
      </c>
      <c r="J223" s="2">
        <f>I223 - INT(ROUND($B$4 * 30.4375, 0) * (20+0.5)/50)</f>
        <v>0</v>
      </c>
      <c r="K223" s="4">
        <f>VLOOKUP(J223, '1_Rate_Changes'!$A$2:$C$100, 3, TRUE)</f>
        <v>0</v>
      </c>
    </row>
    <row r="224" spans="7:11">
      <c r="G224">
        <v>4</v>
      </c>
      <c r="H224">
        <v>21</v>
      </c>
      <c r="I224" s="2">
        <f>INT(DATE($B$3,1,1) + (4+0.5)*365/50)</f>
        <v>0</v>
      </c>
      <c r="J224" s="2">
        <f>I224 - INT(ROUND($B$4 * 30.4375, 0) * (21+0.5)/50)</f>
        <v>0</v>
      </c>
      <c r="K224" s="4">
        <f>VLOOKUP(J224, '1_Rate_Changes'!$A$2:$C$100, 3, TRUE)</f>
        <v>0</v>
      </c>
    </row>
    <row r="225" spans="7:11">
      <c r="G225">
        <v>4</v>
      </c>
      <c r="H225">
        <v>22</v>
      </c>
      <c r="I225" s="2">
        <f>INT(DATE($B$3,1,1) + (4+0.5)*365/50)</f>
        <v>0</v>
      </c>
      <c r="J225" s="2">
        <f>I225 - INT(ROUND($B$4 * 30.4375, 0) * (22+0.5)/50)</f>
        <v>0</v>
      </c>
      <c r="K225" s="4">
        <f>VLOOKUP(J225, '1_Rate_Changes'!$A$2:$C$100, 3, TRUE)</f>
        <v>0</v>
      </c>
    </row>
    <row r="226" spans="7:11">
      <c r="G226">
        <v>4</v>
      </c>
      <c r="H226">
        <v>23</v>
      </c>
      <c r="I226" s="2">
        <f>INT(DATE($B$3,1,1) + (4+0.5)*365/50)</f>
        <v>0</v>
      </c>
      <c r="J226" s="2">
        <f>I226 - INT(ROUND($B$4 * 30.4375, 0) * (23+0.5)/50)</f>
        <v>0</v>
      </c>
      <c r="K226" s="4">
        <f>VLOOKUP(J226, '1_Rate_Changes'!$A$2:$C$100, 3, TRUE)</f>
        <v>0</v>
      </c>
    </row>
    <row r="227" spans="7:11">
      <c r="G227">
        <v>4</v>
      </c>
      <c r="H227">
        <v>24</v>
      </c>
      <c r="I227" s="2">
        <f>INT(DATE($B$3,1,1) + (4+0.5)*365/50)</f>
        <v>0</v>
      </c>
      <c r="J227" s="2">
        <f>I227 - INT(ROUND($B$4 * 30.4375, 0) * (24+0.5)/50)</f>
        <v>0</v>
      </c>
      <c r="K227" s="4">
        <f>VLOOKUP(J227, '1_Rate_Changes'!$A$2:$C$100, 3, TRUE)</f>
        <v>0</v>
      </c>
    </row>
    <row r="228" spans="7:11">
      <c r="G228">
        <v>4</v>
      </c>
      <c r="H228">
        <v>25</v>
      </c>
      <c r="I228" s="2">
        <f>INT(DATE($B$3,1,1) + (4+0.5)*365/50)</f>
        <v>0</v>
      </c>
      <c r="J228" s="2">
        <f>I228 - INT(ROUND($B$4 * 30.4375, 0) * (25+0.5)/50)</f>
        <v>0</v>
      </c>
      <c r="K228" s="4">
        <f>VLOOKUP(J228, '1_Rate_Changes'!$A$2:$C$100, 3, TRUE)</f>
        <v>0</v>
      </c>
    </row>
    <row r="229" spans="7:11">
      <c r="G229">
        <v>4</v>
      </c>
      <c r="H229">
        <v>26</v>
      </c>
      <c r="I229" s="2">
        <f>INT(DATE($B$3,1,1) + (4+0.5)*365/50)</f>
        <v>0</v>
      </c>
      <c r="J229" s="2">
        <f>I229 - INT(ROUND($B$4 * 30.4375, 0) * (26+0.5)/50)</f>
        <v>0</v>
      </c>
      <c r="K229" s="4">
        <f>VLOOKUP(J229, '1_Rate_Changes'!$A$2:$C$100, 3, TRUE)</f>
        <v>0</v>
      </c>
    </row>
    <row r="230" spans="7:11">
      <c r="G230">
        <v>4</v>
      </c>
      <c r="H230">
        <v>27</v>
      </c>
      <c r="I230" s="2">
        <f>INT(DATE($B$3,1,1) + (4+0.5)*365/50)</f>
        <v>0</v>
      </c>
      <c r="J230" s="2">
        <f>I230 - INT(ROUND($B$4 * 30.4375, 0) * (27+0.5)/50)</f>
        <v>0</v>
      </c>
      <c r="K230" s="4">
        <f>VLOOKUP(J230, '1_Rate_Changes'!$A$2:$C$100, 3, TRUE)</f>
        <v>0</v>
      </c>
    </row>
    <row r="231" spans="7:11">
      <c r="G231">
        <v>4</v>
      </c>
      <c r="H231">
        <v>28</v>
      </c>
      <c r="I231" s="2">
        <f>INT(DATE($B$3,1,1) + (4+0.5)*365/50)</f>
        <v>0</v>
      </c>
      <c r="J231" s="2">
        <f>I231 - INT(ROUND($B$4 * 30.4375, 0) * (28+0.5)/50)</f>
        <v>0</v>
      </c>
      <c r="K231" s="4">
        <f>VLOOKUP(J231, '1_Rate_Changes'!$A$2:$C$100, 3, TRUE)</f>
        <v>0</v>
      </c>
    </row>
    <row r="232" spans="7:11">
      <c r="G232">
        <v>4</v>
      </c>
      <c r="H232">
        <v>29</v>
      </c>
      <c r="I232" s="2">
        <f>INT(DATE($B$3,1,1) + (4+0.5)*365/50)</f>
        <v>0</v>
      </c>
      <c r="J232" s="2">
        <f>I232 - INT(ROUND($B$4 * 30.4375, 0) * (29+0.5)/50)</f>
        <v>0</v>
      </c>
      <c r="K232" s="4">
        <f>VLOOKUP(J232, '1_Rate_Changes'!$A$2:$C$100, 3, TRUE)</f>
        <v>0</v>
      </c>
    </row>
    <row r="233" spans="7:11">
      <c r="G233">
        <v>4</v>
      </c>
      <c r="H233">
        <v>30</v>
      </c>
      <c r="I233" s="2">
        <f>INT(DATE($B$3,1,1) + (4+0.5)*365/50)</f>
        <v>0</v>
      </c>
      <c r="J233" s="2">
        <f>I233 - INT(ROUND($B$4 * 30.4375, 0) * (30+0.5)/50)</f>
        <v>0</v>
      </c>
      <c r="K233" s="4">
        <f>VLOOKUP(J233, '1_Rate_Changes'!$A$2:$C$100, 3, TRUE)</f>
        <v>0</v>
      </c>
    </row>
    <row r="234" spans="7:11">
      <c r="G234">
        <v>4</v>
      </c>
      <c r="H234">
        <v>31</v>
      </c>
      <c r="I234" s="2">
        <f>INT(DATE($B$3,1,1) + (4+0.5)*365/50)</f>
        <v>0</v>
      </c>
      <c r="J234" s="2">
        <f>I234 - INT(ROUND($B$4 * 30.4375, 0) * (31+0.5)/50)</f>
        <v>0</v>
      </c>
      <c r="K234" s="4">
        <f>VLOOKUP(J234, '1_Rate_Changes'!$A$2:$C$100, 3, TRUE)</f>
        <v>0</v>
      </c>
    </row>
    <row r="235" spans="7:11">
      <c r="G235">
        <v>4</v>
      </c>
      <c r="H235">
        <v>32</v>
      </c>
      <c r="I235" s="2">
        <f>INT(DATE($B$3,1,1) + (4+0.5)*365/50)</f>
        <v>0</v>
      </c>
      <c r="J235" s="2">
        <f>I235 - INT(ROUND($B$4 * 30.4375, 0) * (32+0.5)/50)</f>
        <v>0</v>
      </c>
      <c r="K235" s="4">
        <f>VLOOKUP(J235, '1_Rate_Changes'!$A$2:$C$100, 3, TRUE)</f>
        <v>0</v>
      </c>
    </row>
    <row r="236" spans="7:11">
      <c r="G236">
        <v>4</v>
      </c>
      <c r="H236">
        <v>33</v>
      </c>
      <c r="I236" s="2">
        <f>INT(DATE($B$3,1,1) + (4+0.5)*365/50)</f>
        <v>0</v>
      </c>
      <c r="J236" s="2">
        <f>I236 - INT(ROUND($B$4 * 30.4375, 0) * (33+0.5)/50)</f>
        <v>0</v>
      </c>
      <c r="K236" s="4">
        <f>VLOOKUP(J236, '1_Rate_Changes'!$A$2:$C$100, 3, TRUE)</f>
        <v>0</v>
      </c>
    </row>
    <row r="237" spans="7:11">
      <c r="G237">
        <v>4</v>
      </c>
      <c r="H237">
        <v>34</v>
      </c>
      <c r="I237" s="2">
        <f>INT(DATE($B$3,1,1) + (4+0.5)*365/50)</f>
        <v>0</v>
      </c>
      <c r="J237" s="2">
        <f>I237 - INT(ROUND($B$4 * 30.4375, 0) * (34+0.5)/50)</f>
        <v>0</v>
      </c>
      <c r="K237" s="4">
        <f>VLOOKUP(J237, '1_Rate_Changes'!$A$2:$C$100, 3, TRUE)</f>
        <v>0</v>
      </c>
    </row>
    <row r="238" spans="7:11">
      <c r="G238">
        <v>4</v>
      </c>
      <c r="H238">
        <v>35</v>
      </c>
      <c r="I238" s="2">
        <f>INT(DATE($B$3,1,1) + (4+0.5)*365/50)</f>
        <v>0</v>
      </c>
      <c r="J238" s="2">
        <f>I238 - INT(ROUND($B$4 * 30.4375, 0) * (35+0.5)/50)</f>
        <v>0</v>
      </c>
      <c r="K238" s="4">
        <f>VLOOKUP(J238, '1_Rate_Changes'!$A$2:$C$100, 3, TRUE)</f>
        <v>0</v>
      </c>
    </row>
    <row r="239" spans="7:11">
      <c r="G239">
        <v>4</v>
      </c>
      <c r="H239">
        <v>36</v>
      </c>
      <c r="I239" s="2">
        <f>INT(DATE($B$3,1,1) + (4+0.5)*365/50)</f>
        <v>0</v>
      </c>
      <c r="J239" s="2">
        <f>I239 - INT(ROUND($B$4 * 30.4375, 0) * (36+0.5)/50)</f>
        <v>0</v>
      </c>
      <c r="K239" s="4">
        <f>VLOOKUP(J239, '1_Rate_Changes'!$A$2:$C$100, 3, TRUE)</f>
        <v>0</v>
      </c>
    </row>
    <row r="240" spans="7:11">
      <c r="G240">
        <v>4</v>
      </c>
      <c r="H240">
        <v>37</v>
      </c>
      <c r="I240" s="2">
        <f>INT(DATE($B$3,1,1) + (4+0.5)*365/50)</f>
        <v>0</v>
      </c>
      <c r="J240" s="2">
        <f>I240 - INT(ROUND($B$4 * 30.4375, 0) * (37+0.5)/50)</f>
        <v>0</v>
      </c>
      <c r="K240" s="4">
        <f>VLOOKUP(J240, '1_Rate_Changes'!$A$2:$C$100, 3, TRUE)</f>
        <v>0</v>
      </c>
    </row>
    <row r="241" spans="7:11">
      <c r="G241">
        <v>4</v>
      </c>
      <c r="H241">
        <v>38</v>
      </c>
      <c r="I241" s="2">
        <f>INT(DATE($B$3,1,1) + (4+0.5)*365/50)</f>
        <v>0</v>
      </c>
      <c r="J241" s="2">
        <f>I241 - INT(ROUND($B$4 * 30.4375, 0) * (38+0.5)/50)</f>
        <v>0</v>
      </c>
      <c r="K241" s="4">
        <f>VLOOKUP(J241, '1_Rate_Changes'!$A$2:$C$100, 3, TRUE)</f>
        <v>0</v>
      </c>
    </row>
    <row r="242" spans="7:11">
      <c r="G242">
        <v>4</v>
      </c>
      <c r="H242">
        <v>39</v>
      </c>
      <c r="I242" s="2">
        <f>INT(DATE($B$3,1,1) + (4+0.5)*365/50)</f>
        <v>0</v>
      </c>
      <c r="J242" s="2">
        <f>I242 - INT(ROUND($B$4 * 30.4375, 0) * (39+0.5)/50)</f>
        <v>0</v>
      </c>
      <c r="K242" s="4">
        <f>VLOOKUP(J242, '1_Rate_Changes'!$A$2:$C$100, 3, TRUE)</f>
        <v>0</v>
      </c>
    </row>
    <row r="243" spans="7:11">
      <c r="G243">
        <v>4</v>
      </c>
      <c r="H243">
        <v>40</v>
      </c>
      <c r="I243" s="2">
        <f>INT(DATE($B$3,1,1) + (4+0.5)*365/50)</f>
        <v>0</v>
      </c>
      <c r="J243" s="2">
        <f>I243 - INT(ROUND($B$4 * 30.4375, 0) * (40+0.5)/50)</f>
        <v>0</v>
      </c>
      <c r="K243" s="4">
        <f>VLOOKUP(J243, '1_Rate_Changes'!$A$2:$C$100, 3, TRUE)</f>
        <v>0</v>
      </c>
    </row>
    <row r="244" spans="7:11">
      <c r="G244">
        <v>4</v>
      </c>
      <c r="H244">
        <v>41</v>
      </c>
      <c r="I244" s="2">
        <f>INT(DATE($B$3,1,1) + (4+0.5)*365/50)</f>
        <v>0</v>
      </c>
      <c r="J244" s="2">
        <f>I244 - INT(ROUND($B$4 * 30.4375, 0) * (41+0.5)/50)</f>
        <v>0</v>
      </c>
      <c r="K244" s="4">
        <f>VLOOKUP(J244, '1_Rate_Changes'!$A$2:$C$100, 3, TRUE)</f>
        <v>0</v>
      </c>
    </row>
    <row r="245" spans="7:11">
      <c r="G245">
        <v>4</v>
      </c>
      <c r="H245">
        <v>42</v>
      </c>
      <c r="I245" s="2">
        <f>INT(DATE($B$3,1,1) + (4+0.5)*365/50)</f>
        <v>0</v>
      </c>
      <c r="J245" s="2">
        <f>I245 - INT(ROUND($B$4 * 30.4375, 0) * (42+0.5)/50)</f>
        <v>0</v>
      </c>
      <c r="K245" s="4">
        <f>VLOOKUP(J245, '1_Rate_Changes'!$A$2:$C$100, 3, TRUE)</f>
        <v>0</v>
      </c>
    </row>
    <row r="246" spans="7:11">
      <c r="G246">
        <v>4</v>
      </c>
      <c r="H246">
        <v>43</v>
      </c>
      <c r="I246" s="2">
        <f>INT(DATE($B$3,1,1) + (4+0.5)*365/50)</f>
        <v>0</v>
      </c>
      <c r="J246" s="2">
        <f>I246 - INT(ROUND($B$4 * 30.4375, 0) * (43+0.5)/50)</f>
        <v>0</v>
      </c>
      <c r="K246" s="4">
        <f>VLOOKUP(J246, '1_Rate_Changes'!$A$2:$C$100, 3, TRUE)</f>
        <v>0</v>
      </c>
    </row>
    <row r="247" spans="7:11">
      <c r="G247">
        <v>4</v>
      </c>
      <c r="H247">
        <v>44</v>
      </c>
      <c r="I247" s="2">
        <f>INT(DATE($B$3,1,1) + (4+0.5)*365/50)</f>
        <v>0</v>
      </c>
      <c r="J247" s="2">
        <f>I247 - INT(ROUND($B$4 * 30.4375, 0) * (44+0.5)/50)</f>
        <v>0</v>
      </c>
      <c r="K247" s="4">
        <f>VLOOKUP(J247, '1_Rate_Changes'!$A$2:$C$100, 3, TRUE)</f>
        <v>0</v>
      </c>
    </row>
    <row r="248" spans="7:11">
      <c r="G248">
        <v>4</v>
      </c>
      <c r="H248">
        <v>45</v>
      </c>
      <c r="I248" s="2">
        <f>INT(DATE($B$3,1,1) + (4+0.5)*365/50)</f>
        <v>0</v>
      </c>
      <c r="J248" s="2">
        <f>I248 - INT(ROUND($B$4 * 30.4375, 0) * (45+0.5)/50)</f>
        <v>0</v>
      </c>
      <c r="K248" s="4">
        <f>VLOOKUP(J248, '1_Rate_Changes'!$A$2:$C$100, 3, TRUE)</f>
        <v>0</v>
      </c>
    </row>
    <row r="249" spans="7:11">
      <c r="G249">
        <v>4</v>
      </c>
      <c r="H249">
        <v>46</v>
      </c>
      <c r="I249" s="2">
        <f>INT(DATE($B$3,1,1) + (4+0.5)*365/50)</f>
        <v>0</v>
      </c>
      <c r="J249" s="2">
        <f>I249 - INT(ROUND($B$4 * 30.4375, 0) * (46+0.5)/50)</f>
        <v>0</v>
      </c>
      <c r="K249" s="4">
        <f>VLOOKUP(J249, '1_Rate_Changes'!$A$2:$C$100, 3, TRUE)</f>
        <v>0</v>
      </c>
    </row>
    <row r="250" spans="7:11">
      <c r="G250">
        <v>4</v>
      </c>
      <c r="H250">
        <v>47</v>
      </c>
      <c r="I250" s="2">
        <f>INT(DATE($B$3,1,1) + (4+0.5)*365/50)</f>
        <v>0</v>
      </c>
      <c r="J250" s="2">
        <f>I250 - INT(ROUND($B$4 * 30.4375, 0) * (47+0.5)/50)</f>
        <v>0</v>
      </c>
      <c r="K250" s="4">
        <f>VLOOKUP(J250, '1_Rate_Changes'!$A$2:$C$100, 3, TRUE)</f>
        <v>0</v>
      </c>
    </row>
    <row r="251" spans="7:11">
      <c r="G251">
        <v>4</v>
      </c>
      <c r="H251">
        <v>48</v>
      </c>
      <c r="I251" s="2">
        <f>INT(DATE($B$3,1,1) + (4+0.5)*365/50)</f>
        <v>0</v>
      </c>
      <c r="J251" s="2">
        <f>I251 - INT(ROUND($B$4 * 30.4375, 0) * (48+0.5)/50)</f>
        <v>0</v>
      </c>
      <c r="K251" s="4">
        <f>VLOOKUP(J251, '1_Rate_Changes'!$A$2:$C$100, 3, TRUE)</f>
        <v>0</v>
      </c>
    </row>
    <row r="252" spans="7:11">
      <c r="G252">
        <v>4</v>
      </c>
      <c r="H252">
        <v>49</v>
      </c>
      <c r="I252" s="2">
        <f>INT(DATE($B$3,1,1) + (4+0.5)*365/50)</f>
        <v>0</v>
      </c>
      <c r="J252" s="2">
        <f>I252 - INT(ROUND($B$4 * 30.4375, 0) * (49+0.5)/50)</f>
        <v>0</v>
      </c>
      <c r="K252" s="4">
        <f>VLOOKUP(J252, '1_Rate_Changes'!$A$2:$C$100, 3, TRUE)</f>
        <v>0</v>
      </c>
    </row>
    <row r="253" spans="7:11">
      <c r="G253">
        <v>5</v>
      </c>
      <c r="H253">
        <v>0</v>
      </c>
      <c r="I253" s="2">
        <f>INT(DATE($B$3,1,1) + (5+0.5)*365/50)</f>
        <v>0</v>
      </c>
      <c r="J253" s="2">
        <f>I253 - INT(ROUND($B$4 * 30.4375, 0) * (0+0.5)/50)</f>
        <v>0</v>
      </c>
      <c r="K253" s="4">
        <f>VLOOKUP(J253, '1_Rate_Changes'!$A$2:$C$100, 3, TRUE)</f>
        <v>0</v>
      </c>
    </row>
    <row r="254" spans="7:11">
      <c r="G254">
        <v>5</v>
      </c>
      <c r="H254">
        <v>1</v>
      </c>
      <c r="I254" s="2">
        <f>INT(DATE($B$3,1,1) + (5+0.5)*365/50)</f>
        <v>0</v>
      </c>
      <c r="J254" s="2">
        <f>I254 - INT(ROUND($B$4 * 30.4375, 0) * (1+0.5)/50)</f>
        <v>0</v>
      </c>
      <c r="K254" s="4">
        <f>VLOOKUP(J254, '1_Rate_Changes'!$A$2:$C$100, 3, TRUE)</f>
        <v>0</v>
      </c>
    </row>
    <row r="255" spans="7:11">
      <c r="G255">
        <v>5</v>
      </c>
      <c r="H255">
        <v>2</v>
      </c>
      <c r="I255" s="2">
        <f>INT(DATE($B$3,1,1) + (5+0.5)*365/50)</f>
        <v>0</v>
      </c>
      <c r="J255" s="2">
        <f>I255 - INT(ROUND($B$4 * 30.4375, 0) * (2+0.5)/50)</f>
        <v>0</v>
      </c>
      <c r="K255" s="4">
        <f>VLOOKUP(J255, '1_Rate_Changes'!$A$2:$C$100, 3, TRUE)</f>
        <v>0</v>
      </c>
    </row>
    <row r="256" spans="7:11">
      <c r="G256">
        <v>5</v>
      </c>
      <c r="H256">
        <v>3</v>
      </c>
      <c r="I256" s="2">
        <f>INT(DATE($B$3,1,1) + (5+0.5)*365/50)</f>
        <v>0</v>
      </c>
      <c r="J256" s="2">
        <f>I256 - INT(ROUND($B$4 * 30.4375, 0) * (3+0.5)/50)</f>
        <v>0</v>
      </c>
      <c r="K256" s="4">
        <f>VLOOKUP(J256, '1_Rate_Changes'!$A$2:$C$100, 3, TRUE)</f>
        <v>0</v>
      </c>
    </row>
    <row r="257" spans="7:11">
      <c r="G257">
        <v>5</v>
      </c>
      <c r="H257">
        <v>4</v>
      </c>
      <c r="I257" s="2">
        <f>INT(DATE($B$3,1,1) + (5+0.5)*365/50)</f>
        <v>0</v>
      </c>
      <c r="J257" s="2">
        <f>I257 - INT(ROUND($B$4 * 30.4375, 0) * (4+0.5)/50)</f>
        <v>0</v>
      </c>
      <c r="K257" s="4">
        <f>VLOOKUP(J257, '1_Rate_Changes'!$A$2:$C$100, 3, TRUE)</f>
        <v>0</v>
      </c>
    </row>
    <row r="258" spans="7:11">
      <c r="G258">
        <v>5</v>
      </c>
      <c r="H258">
        <v>5</v>
      </c>
      <c r="I258" s="2">
        <f>INT(DATE($B$3,1,1) + (5+0.5)*365/50)</f>
        <v>0</v>
      </c>
      <c r="J258" s="2">
        <f>I258 - INT(ROUND($B$4 * 30.4375, 0) * (5+0.5)/50)</f>
        <v>0</v>
      </c>
      <c r="K258" s="4">
        <f>VLOOKUP(J258, '1_Rate_Changes'!$A$2:$C$100, 3, TRUE)</f>
        <v>0</v>
      </c>
    </row>
    <row r="259" spans="7:11">
      <c r="G259">
        <v>5</v>
      </c>
      <c r="H259">
        <v>6</v>
      </c>
      <c r="I259" s="2">
        <f>INT(DATE($B$3,1,1) + (5+0.5)*365/50)</f>
        <v>0</v>
      </c>
      <c r="J259" s="2">
        <f>I259 - INT(ROUND($B$4 * 30.4375, 0) * (6+0.5)/50)</f>
        <v>0</v>
      </c>
      <c r="K259" s="4">
        <f>VLOOKUP(J259, '1_Rate_Changes'!$A$2:$C$100, 3, TRUE)</f>
        <v>0</v>
      </c>
    </row>
    <row r="260" spans="7:11">
      <c r="G260">
        <v>5</v>
      </c>
      <c r="H260">
        <v>7</v>
      </c>
      <c r="I260" s="2">
        <f>INT(DATE($B$3,1,1) + (5+0.5)*365/50)</f>
        <v>0</v>
      </c>
      <c r="J260" s="2">
        <f>I260 - INT(ROUND($B$4 * 30.4375, 0) * (7+0.5)/50)</f>
        <v>0</v>
      </c>
      <c r="K260" s="4">
        <f>VLOOKUP(J260, '1_Rate_Changes'!$A$2:$C$100, 3, TRUE)</f>
        <v>0</v>
      </c>
    </row>
    <row r="261" spans="7:11">
      <c r="G261">
        <v>5</v>
      </c>
      <c r="H261">
        <v>8</v>
      </c>
      <c r="I261" s="2">
        <f>INT(DATE($B$3,1,1) + (5+0.5)*365/50)</f>
        <v>0</v>
      </c>
      <c r="J261" s="2">
        <f>I261 - INT(ROUND($B$4 * 30.4375, 0) * (8+0.5)/50)</f>
        <v>0</v>
      </c>
      <c r="K261" s="4">
        <f>VLOOKUP(J261, '1_Rate_Changes'!$A$2:$C$100, 3, TRUE)</f>
        <v>0</v>
      </c>
    </row>
    <row r="262" spans="7:11">
      <c r="G262">
        <v>5</v>
      </c>
      <c r="H262">
        <v>9</v>
      </c>
      <c r="I262" s="2">
        <f>INT(DATE($B$3,1,1) + (5+0.5)*365/50)</f>
        <v>0</v>
      </c>
      <c r="J262" s="2">
        <f>I262 - INT(ROUND($B$4 * 30.4375, 0) * (9+0.5)/50)</f>
        <v>0</v>
      </c>
      <c r="K262" s="4">
        <f>VLOOKUP(J262, '1_Rate_Changes'!$A$2:$C$100, 3, TRUE)</f>
        <v>0</v>
      </c>
    </row>
    <row r="263" spans="7:11">
      <c r="G263">
        <v>5</v>
      </c>
      <c r="H263">
        <v>10</v>
      </c>
      <c r="I263" s="2">
        <f>INT(DATE($B$3,1,1) + (5+0.5)*365/50)</f>
        <v>0</v>
      </c>
      <c r="J263" s="2">
        <f>I263 - INT(ROUND($B$4 * 30.4375, 0) * (10+0.5)/50)</f>
        <v>0</v>
      </c>
      <c r="K263" s="4">
        <f>VLOOKUP(J263, '1_Rate_Changes'!$A$2:$C$100, 3, TRUE)</f>
        <v>0</v>
      </c>
    </row>
    <row r="264" spans="7:11">
      <c r="G264">
        <v>5</v>
      </c>
      <c r="H264">
        <v>11</v>
      </c>
      <c r="I264" s="2">
        <f>INT(DATE($B$3,1,1) + (5+0.5)*365/50)</f>
        <v>0</v>
      </c>
      <c r="J264" s="2">
        <f>I264 - INT(ROUND($B$4 * 30.4375, 0) * (11+0.5)/50)</f>
        <v>0</v>
      </c>
      <c r="K264" s="4">
        <f>VLOOKUP(J264, '1_Rate_Changes'!$A$2:$C$100, 3, TRUE)</f>
        <v>0</v>
      </c>
    </row>
    <row r="265" spans="7:11">
      <c r="G265">
        <v>5</v>
      </c>
      <c r="H265">
        <v>12</v>
      </c>
      <c r="I265" s="2">
        <f>INT(DATE($B$3,1,1) + (5+0.5)*365/50)</f>
        <v>0</v>
      </c>
      <c r="J265" s="2">
        <f>I265 - INT(ROUND($B$4 * 30.4375, 0) * (12+0.5)/50)</f>
        <v>0</v>
      </c>
      <c r="K265" s="4">
        <f>VLOOKUP(J265, '1_Rate_Changes'!$A$2:$C$100, 3, TRUE)</f>
        <v>0</v>
      </c>
    </row>
    <row r="266" spans="7:11">
      <c r="G266">
        <v>5</v>
      </c>
      <c r="H266">
        <v>13</v>
      </c>
      <c r="I266" s="2">
        <f>INT(DATE($B$3,1,1) + (5+0.5)*365/50)</f>
        <v>0</v>
      </c>
      <c r="J266" s="2">
        <f>I266 - INT(ROUND($B$4 * 30.4375, 0) * (13+0.5)/50)</f>
        <v>0</v>
      </c>
      <c r="K266" s="4">
        <f>VLOOKUP(J266, '1_Rate_Changes'!$A$2:$C$100, 3, TRUE)</f>
        <v>0</v>
      </c>
    </row>
    <row r="267" spans="7:11">
      <c r="G267">
        <v>5</v>
      </c>
      <c r="H267">
        <v>14</v>
      </c>
      <c r="I267" s="2">
        <f>INT(DATE($B$3,1,1) + (5+0.5)*365/50)</f>
        <v>0</v>
      </c>
      <c r="J267" s="2">
        <f>I267 - INT(ROUND($B$4 * 30.4375, 0) * (14+0.5)/50)</f>
        <v>0</v>
      </c>
      <c r="K267" s="4">
        <f>VLOOKUP(J267, '1_Rate_Changes'!$A$2:$C$100, 3, TRUE)</f>
        <v>0</v>
      </c>
    </row>
    <row r="268" spans="7:11">
      <c r="G268">
        <v>5</v>
      </c>
      <c r="H268">
        <v>15</v>
      </c>
      <c r="I268" s="2">
        <f>INT(DATE($B$3,1,1) + (5+0.5)*365/50)</f>
        <v>0</v>
      </c>
      <c r="J268" s="2">
        <f>I268 - INT(ROUND($B$4 * 30.4375, 0) * (15+0.5)/50)</f>
        <v>0</v>
      </c>
      <c r="K268" s="4">
        <f>VLOOKUP(J268, '1_Rate_Changes'!$A$2:$C$100, 3, TRUE)</f>
        <v>0</v>
      </c>
    </row>
    <row r="269" spans="7:11">
      <c r="G269">
        <v>5</v>
      </c>
      <c r="H269">
        <v>16</v>
      </c>
      <c r="I269" s="2">
        <f>INT(DATE($B$3,1,1) + (5+0.5)*365/50)</f>
        <v>0</v>
      </c>
      <c r="J269" s="2">
        <f>I269 - INT(ROUND($B$4 * 30.4375, 0) * (16+0.5)/50)</f>
        <v>0</v>
      </c>
      <c r="K269" s="4">
        <f>VLOOKUP(J269, '1_Rate_Changes'!$A$2:$C$100, 3, TRUE)</f>
        <v>0</v>
      </c>
    </row>
    <row r="270" spans="7:11">
      <c r="G270">
        <v>5</v>
      </c>
      <c r="H270">
        <v>17</v>
      </c>
      <c r="I270" s="2">
        <f>INT(DATE($B$3,1,1) + (5+0.5)*365/50)</f>
        <v>0</v>
      </c>
      <c r="J270" s="2">
        <f>I270 - INT(ROUND($B$4 * 30.4375, 0) * (17+0.5)/50)</f>
        <v>0</v>
      </c>
      <c r="K270" s="4">
        <f>VLOOKUP(J270, '1_Rate_Changes'!$A$2:$C$100, 3, TRUE)</f>
        <v>0</v>
      </c>
    </row>
    <row r="271" spans="7:11">
      <c r="G271">
        <v>5</v>
      </c>
      <c r="H271">
        <v>18</v>
      </c>
      <c r="I271" s="2">
        <f>INT(DATE($B$3,1,1) + (5+0.5)*365/50)</f>
        <v>0</v>
      </c>
      <c r="J271" s="2">
        <f>I271 - INT(ROUND($B$4 * 30.4375, 0) * (18+0.5)/50)</f>
        <v>0</v>
      </c>
      <c r="K271" s="4">
        <f>VLOOKUP(J271, '1_Rate_Changes'!$A$2:$C$100, 3, TRUE)</f>
        <v>0</v>
      </c>
    </row>
    <row r="272" spans="7:11">
      <c r="G272">
        <v>5</v>
      </c>
      <c r="H272">
        <v>19</v>
      </c>
      <c r="I272" s="2">
        <f>INT(DATE($B$3,1,1) + (5+0.5)*365/50)</f>
        <v>0</v>
      </c>
      <c r="J272" s="2">
        <f>I272 - INT(ROUND($B$4 * 30.4375, 0) * (19+0.5)/50)</f>
        <v>0</v>
      </c>
      <c r="K272" s="4">
        <f>VLOOKUP(J272, '1_Rate_Changes'!$A$2:$C$100, 3, TRUE)</f>
        <v>0</v>
      </c>
    </row>
    <row r="273" spans="7:11">
      <c r="G273">
        <v>5</v>
      </c>
      <c r="H273">
        <v>20</v>
      </c>
      <c r="I273" s="2">
        <f>INT(DATE($B$3,1,1) + (5+0.5)*365/50)</f>
        <v>0</v>
      </c>
      <c r="J273" s="2">
        <f>I273 - INT(ROUND($B$4 * 30.4375, 0) * (20+0.5)/50)</f>
        <v>0</v>
      </c>
      <c r="K273" s="4">
        <f>VLOOKUP(J273, '1_Rate_Changes'!$A$2:$C$100, 3, TRUE)</f>
        <v>0</v>
      </c>
    </row>
    <row r="274" spans="7:11">
      <c r="G274">
        <v>5</v>
      </c>
      <c r="H274">
        <v>21</v>
      </c>
      <c r="I274" s="2">
        <f>INT(DATE($B$3,1,1) + (5+0.5)*365/50)</f>
        <v>0</v>
      </c>
      <c r="J274" s="2">
        <f>I274 - INT(ROUND($B$4 * 30.4375, 0) * (21+0.5)/50)</f>
        <v>0</v>
      </c>
      <c r="K274" s="4">
        <f>VLOOKUP(J274, '1_Rate_Changes'!$A$2:$C$100, 3, TRUE)</f>
        <v>0</v>
      </c>
    </row>
    <row r="275" spans="7:11">
      <c r="G275">
        <v>5</v>
      </c>
      <c r="H275">
        <v>22</v>
      </c>
      <c r="I275" s="2">
        <f>INT(DATE($B$3,1,1) + (5+0.5)*365/50)</f>
        <v>0</v>
      </c>
      <c r="J275" s="2">
        <f>I275 - INT(ROUND($B$4 * 30.4375, 0) * (22+0.5)/50)</f>
        <v>0</v>
      </c>
      <c r="K275" s="4">
        <f>VLOOKUP(J275, '1_Rate_Changes'!$A$2:$C$100, 3, TRUE)</f>
        <v>0</v>
      </c>
    </row>
    <row r="276" spans="7:11">
      <c r="G276">
        <v>5</v>
      </c>
      <c r="H276">
        <v>23</v>
      </c>
      <c r="I276" s="2">
        <f>INT(DATE($B$3,1,1) + (5+0.5)*365/50)</f>
        <v>0</v>
      </c>
      <c r="J276" s="2">
        <f>I276 - INT(ROUND($B$4 * 30.4375, 0) * (23+0.5)/50)</f>
        <v>0</v>
      </c>
      <c r="K276" s="4">
        <f>VLOOKUP(J276, '1_Rate_Changes'!$A$2:$C$100, 3, TRUE)</f>
        <v>0</v>
      </c>
    </row>
    <row r="277" spans="7:11">
      <c r="G277">
        <v>5</v>
      </c>
      <c r="H277">
        <v>24</v>
      </c>
      <c r="I277" s="2">
        <f>INT(DATE($B$3,1,1) + (5+0.5)*365/50)</f>
        <v>0</v>
      </c>
      <c r="J277" s="2">
        <f>I277 - INT(ROUND($B$4 * 30.4375, 0) * (24+0.5)/50)</f>
        <v>0</v>
      </c>
      <c r="K277" s="4">
        <f>VLOOKUP(J277, '1_Rate_Changes'!$A$2:$C$100, 3, TRUE)</f>
        <v>0</v>
      </c>
    </row>
    <row r="278" spans="7:11">
      <c r="G278">
        <v>5</v>
      </c>
      <c r="H278">
        <v>25</v>
      </c>
      <c r="I278" s="2">
        <f>INT(DATE($B$3,1,1) + (5+0.5)*365/50)</f>
        <v>0</v>
      </c>
      <c r="J278" s="2">
        <f>I278 - INT(ROUND($B$4 * 30.4375, 0) * (25+0.5)/50)</f>
        <v>0</v>
      </c>
      <c r="K278" s="4">
        <f>VLOOKUP(J278, '1_Rate_Changes'!$A$2:$C$100, 3, TRUE)</f>
        <v>0</v>
      </c>
    </row>
    <row r="279" spans="7:11">
      <c r="G279">
        <v>5</v>
      </c>
      <c r="H279">
        <v>26</v>
      </c>
      <c r="I279" s="2">
        <f>INT(DATE($B$3,1,1) + (5+0.5)*365/50)</f>
        <v>0</v>
      </c>
      <c r="J279" s="2">
        <f>I279 - INT(ROUND($B$4 * 30.4375, 0) * (26+0.5)/50)</f>
        <v>0</v>
      </c>
      <c r="K279" s="4">
        <f>VLOOKUP(J279, '1_Rate_Changes'!$A$2:$C$100, 3, TRUE)</f>
        <v>0</v>
      </c>
    </row>
    <row r="280" spans="7:11">
      <c r="G280">
        <v>5</v>
      </c>
      <c r="H280">
        <v>27</v>
      </c>
      <c r="I280" s="2">
        <f>INT(DATE($B$3,1,1) + (5+0.5)*365/50)</f>
        <v>0</v>
      </c>
      <c r="J280" s="2">
        <f>I280 - INT(ROUND($B$4 * 30.4375, 0) * (27+0.5)/50)</f>
        <v>0</v>
      </c>
      <c r="K280" s="4">
        <f>VLOOKUP(J280, '1_Rate_Changes'!$A$2:$C$100, 3, TRUE)</f>
        <v>0</v>
      </c>
    </row>
    <row r="281" spans="7:11">
      <c r="G281">
        <v>5</v>
      </c>
      <c r="H281">
        <v>28</v>
      </c>
      <c r="I281" s="2">
        <f>INT(DATE($B$3,1,1) + (5+0.5)*365/50)</f>
        <v>0</v>
      </c>
      <c r="J281" s="2">
        <f>I281 - INT(ROUND($B$4 * 30.4375, 0) * (28+0.5)/50)</f>
        <v>0</v>
      </c>
      <c r="K281" s="4">
        <f>VLOOKUP(J281, '1_Rate_Changes'!$A$2:$C$100, 3, TRUE)</f>
        <v>0</v>
      </c>
    </row>
    <row r="282" spans="7:11">
      <c r="G282">
        <v>5</v>
      </c>
      <c r="H282">
        <v>29</v>
      </c>
      <c r="I282" s="2">
        <f>INT(DATE($B$3,1,1) + (5+0.5)*365/50)</f>
        <v>0</v>
      </c>
      <c r="J282" s="2">
        <f>I282 - INT(ROUND($B$4 * 30.4375, 0) * (29+0.5)/50)</f>
        <v>0</v>
      </c>
      <c r="K282" s="4">
        <f>VLOOKUP(J282, '1_Rate_Changes'!$A$2:$C$100, 3, TRUE)</f>
        <v>0</v>
      </c>
    </row>
    <row r="283" spans="7:11">
      <c r="G283">
        <v>5</v>
      </c>
      <c r="H283">
        <v>30</v>
      </c>
      <c r="I283" s="2">
        <f>INT(DATE($B$3,1,1) + (5+0.5)*365/50)</f>
        <v>0</v>
      </c>
      <c r="J283" s="2">
        <f>I283 - INT(ROUND($B$4 * 30.4375, 0) * (30+0.5)/50)</f>
        <v>0</v>
      </c>
      <c r="K283" s="4">
        <f>VLOOKUP(J283, '1_Rate_Changes'!$A$2:$C$100, 3, TRUE)</f>
        <v>0</v>
      </c>
    </row>
    <row r="284" spans="7:11">
      <c r="G284">
        <v>5</v>
      </c>
      <c r="H284">
        <v>31</v>
      </c>
      <c r="I284" s="2">
        <f>INT(DATE($B$3,1,1) + (5+0.5)*365/50)</f>
        <v>0</v>
      </c>
      <c r="J284" s="2">
        <f>I284 - INT(ROUND($B$4 * 30.4375, 0) * (31+0.5)/50)</f>
        <v>0</v>
      </c>
      <c r="K284" s="4">
        <f>VLOOKUP(J284, '1_Rate_Changes'!$A$2:$C$100, 3, TRUE)</f>
        <v>0</v>
      </c>
    </row>
    <row r="285" spans="7:11">
      <c r="G285">
        <v>5</v>
      </c>
      <c r="H285">
        <v>32</v>
      </c>
      <c r="I285" s="2">
        <f>INT(DATE($B$3,1,1) + (5+0.5)*365/50)</f>
        <v>0</v>
      </c>
      <c r="J285" s="2">
        <f>I285 - INT(ROUND($B$4 * 30.4375, 0) * (32+0.5)/50)</f>
        <v>0</v>
      </c>
      <c r="K285" s="4">
        <f>VLOOKUP(J285, '1_Rate_Changes'!$A$2:$C$100, 3, TRUE)</f>
        <v>0</v>
      </c>
    </row>
    <row r="286" spans="7:11">
      <c r="G286">
        <v>5</v>
      </c>
      <c r="H286">
        <v>33</v>
      </c>
      <c r="I286" s="2">
        <f>INT(DATE($B$3,1,1) + (5+0.5)*365/50)</f>
        <v>0</v>
      </c>
      <c r="J286" s="2">
        <f>I286 - INT(ROUND($B$4 * 30.4375, 0) * (33+0.5)/50)</f>
        <v>0</v>
      </c>
      <c r="K286" s="4">
        <f>VLOOKUP(J286, '1_Rate_Changes'!$A$2:$C$100, 3, TRUE)</f>
        <v>0</v>
      </c>
    </row>
    <row r="287" spans="7:11">
      <c r="G287">
        <v>5</v>
      </c>
      <c r="H287">
        <v>34</v>
      </c>
      <c r="I287" s="2">
        <f>INT(DATE($B$3,1,1) + (5+0.5)*365/50)</f>
        <v>0</v>
      </c>
      <c r="J287" s="2">
        <f>I287 - INT(ROUND($B$4 * 30.4375, 0) * (34+0.5)/50)</f>
        <v>0</v>
      </c>
      <c r="K287" s="4">
        <f>VLOOKUP(J287, '1_Rate_Changes'!$A$2:$C$100, 3, TRUE)</f>
        <v>0</v>
      </c>
    </row>
    <row r="288" spans="7:11">
      <c r="G288">
        <v>5</v>
      </c>
      <c r="H288">
        <v>35</v>
      </c>
      <c r="I288" s="2">
        <f>INT(DATE($B$3,1,1) + (5+0.5)*365/50)</f>
        <v>0</v>
      </c>
      <c r="J288" s="2">
        <f>I288 - INT(ROUND($B$4 * 30.4375, 0) * (35+0.5)/50)</f>
        <v>0</v>
      </c>
      <c r="K288" s="4">
        <f>VLOOKUP(J288, '1_Rate_Changes'!$A$2:$C$100, 3, TRUE)</f>
        <v>0</v>
      </c>
    </row>
    <row r="289" spans="7:11">
      <c r="G289">
        <v>5</v>
      </c>
      <c r="H289">
        <v>36</v>
      </c>
      <c r="I289" s="2">
        <f>INT(DATE($B$3,1,1) + (5+0.5)*365/50)</f>
        <v>0</v>
      </c>
      <c r="J289" s="2">
        <f>I289 - INT(ROUND($B$4 * 30.4375, 0) * (36+0.5)/50)</f>
        <v>0</v>
      </c>
      <c r="K289" s="4">
        <f>VLOOKUP(J289, '1_Rate_Changes'!$A$2:$C$100, 3, TRUE)</f>
        <v>0</v>
      </c>
    </row>
    <row r="290" spans="7:11">
      <c r="G290">
        <v>5</v>
      </c>
      <c r="H290">
        <v>37</v>
      </c>
      <c r="I290" s="2">
        <f>INT(DATE($B$3,1,1) + (5+0.5)*365/50)</f>
        <v>0</v>
      </c>
      <c r="J290" s="2">
        <f>I290 - INT(ROUND($B$4 * 30.4375, 0) * (37+0.5)/50)</f>
        <v>0</v>
      </c>
      <c r="K290" s="4">
        <f>VLOOKUP(J290, '1_Rate_Changes'!$A$2:$C$100, 3, TRUE)</f>
        <v>0</v>
      </c>
    </row>
    <row r="291" spans="7:11">
      <c r="G291">
        <v>5</v>
      </c>
      <c r="H291">
        <v>38</v>
      </c>
      <c r="I291" s="2">
        <f>INT(DATE($B$3,1,1) + (5+0.5)*365/50)</f>
        <v>0</v>
      </c>
      <c r="J291" s="2">
        <f>I291 - INT(ROUND($B$4 * 30.4375, 0) * (38+0.5)/50)</f>
        <v>0</v>
      </c>
      <c r="K291" s="4">
        <f>VLOOKUP(J291, '1_Rate_Changes'!$A$2:$C$100, 3, TRUE)</f>
        <v>0</v>
      </c>
    </row>
    <row r="292" spans="7:11">
      <c r="G292">
        <v>5</v>
      </c>
      <c r="H292">
        <v>39</v>
      </c>
      <c r="I292" s="2">
        <f>INT(DATE($B$3,1,1) + (5+0.5)*365/50)</f>
        <v>0</v>
      </c>
      <c r="J292" s="2">
        <f>I292 - INT(ROUND($B$4 * 30.4375, 0) * (39+0.5)/50)</f>
        <v>0</v>
      </c>
      <c r="K292" s="4">
        <f>VLOOKUP(J292, '1_Rate_Changes'!$A$2:$C$100, 3, TRUE)</f>
        <v>0</v>
      </c>
    </row>
    <row r="293" spans="7:11">
      <c r="G293">
        <v>5</v>
      </c>
      <c r="H293">
        <v>40</v>
      </c>
      <c r="I293" s="2">
        <f>INT(DATE($B$3,1,1) + (5+0.5)*365/50)</f>
        <v>0</v>
      </c>
      <c r="J293" s="2">
        <f>I293 - INT(ROUND($B$4 * 30.4375, 0) * (40+0.5)/50)</f>
        <v>0</v>
      </c>
      <c r="K293" s="4">
        <f>VLOOKUP(J293, '1_Rate_Changes'!$A$2:$C$100, 3, TRUE)</f>
        <v>0</v>
      </c>
    </row>
    <row r="294" spans="7:11">
      <c r="G294">
        <v>5</v>
      </c>
      <c r="H294">
        <v>41</v>
      </c>
      <c r="I294" s="2">
        <f>INT(DATE($B$3,1,1) + (5+0.5)*365/50)</f>
        <v>0</v>
      </c>
      <c r="J294" s="2">
        <f>I294 - INT(ROUND($B$4 * 30.4375, 0) * (41+0.5)/50)</f>
        <v>0</v>
      </c>
      <c r="K294" s="4">
        <f>VLOOKUP(J294, '1_Rate_Changes'!$A$2:$C$100, 3, TRUE)</f>
        <v>0</v>
      </c>
    </row>
    <row r="295" spans="7:11">
      <c r="G295">
        <v>5</v>
      </c>
      <c r="H295">
        <v>42</v>
      </c>
      <c r="I295" s="2">
        <f>INT(DATE($B$3,1,1) + (5+0.5)*365/50)</f>
        <v>0</v>
      </c>
      <c r="J295" s="2">
        <f>I295 - INT(ROUND($B$4 * 30.4375, 0) * (42+0.5)/50)</f>
        <v>0</v>
      </c>
      <c r="K295" s="4">
        <f>VLOOKUP(J295, '1_Rate_Changes'!$A$2:$C$100, 3, TRUE)</f>
        <v>0</v>
      </c>
    </row>
    <row r="296" spans="7:11">
      <c r="G296">
        <v>5</v>
      </c>
      <c r="H296">
        <v>43</v>
      </c>
      <c r="I296" s="2">
        <f>INT(DATE($B$3,1,1) + (5+0.5)*365/50)</f>
        <v>0</v>
      </c>
      <c r="J296" s="2">
        <f>I296 - INT(ROUND($B$4 * 30.4375, 0) * (43+0.5)/50)</f>
        <v>0</v>
      </c>
      <c r="K296" s="4">
        <f>VLOOKUP(J296, '1_Rate_Changes'!$A$2:$C$100, 3, TRUE)</f>
        <v>0</v>
      </c>
    </row>
    <row r="297" spans="7:11">
      <c r="G297">
        <v>5</v>
      </c>
      <c r="H297">
        <v>44</v>
      </c>
      <c r="I297" s="2">
        <f>INT(DATE($B$3,1,1) + (5+0.5)*365/50)</f>
        <v>0</v>
      </c>
      <c r="J297" s="2">
        <f>I297 - INT(ROUND($B$4 * 30.4375, 0) * (44+0.5)/50)</f>
        <v>0</v>
      </c>
      <c r="K297" s="4">
        <f>VLOOKUP(J297, '1_Rate_Changes'!$A$2:$C$100, 3, TRUE)</f>
        <v>0</v>
      </c>
    </row>
    <row r="298" spans="7:11">
      <c r="G298">
        <v>5</v>
      </c>
      <c r="H298">
        <v>45</v>
      </c>
      <c r="I298" s="2">
        <f>INT(DATE($B$3,1,1) + (5+0.5)*365/50)</f>
        <v>0</v>
      </c>
      <c r="J298" s="2">
        <f>I298 - INT(ROUND($B$4 * 30.4375, 0) * (45+0.5)/50)</f>
        <v>0</v>
      </c>
      <c r="K298" s="4">
        <f>VLOOKUP(J298, '1_Rate_Changes'!$A$2:$C$100, 3, TRUE)</f>
        <v>0</v>
      </c>
    </row>
    <row r="299" spans="7:11">
      <c r="G299">
        <v>5</v>
      </c>
      <c r="H299">
        <v>46</v>
      </c>
      <c r="I299" s="2">
        <f>INT(DATE($B$3,1,1) + (5+0.5)*365/50)</f>
        <v>0</v>
      </c>
      <c r="J299" s="2">
        <f>I299 - INT(ROUND($B$4 * 30.4375, 0) * (46+0.5)/50)</f>
        <v>0</v>
      </c>
      <c r="K299" s="4">
        <f>VLOOKUP(J299, '1_Rate_Changes'!$A$2:$C$100, 3, TRUE)</f>
        <v>0</v>
      </c>
    </row>
    <row r="300" spans="7:11">
      <c r="G300">
        <v>5</v>
      </c>
      <c r="H300">
        <v>47</v>
      </c>
      <c r="I300" s="2">
        <f>INT(DATE($B$3,1,1) + (5+0.5)*365/50)</f>
        <v>0</v>
      </c>
      <c r="J300" s="2">
        <f>I300 - INT(ROUND($B$4 * 30.4375, 0) * (47+0.5)/50)</f>
        <v>0</v>
      </c>
      <c r="K300" s="4">
        <f>VLOOKUP(J300, '1_Rate_Changes'!$A$2:$C$100, 3, TRUE)</f>
        <v>0</v>
      </c>
    </row>
    <row r="301" spans="7:11">
      <c r="G301">
        <v>5</v>
      </c>
      <c r="H301">
        <v>48</v>
      </c>
      <c r="I301" s="2">
        <f>INT(DATE($B$3,1,1) + (5+0.5)*365/50)</f>
        <v>0</v>
      </c>
      <c r="J301" s="2">
        <f>I301 - INT(ROUND($B$4 * 30.4375, 0) * (48+0.5)/50)</f>
        <v>0</v>
      </c>
      <c r="K301" s="4">
        <f>VLOOKUP(J301, '1_Rate_Changes'!$A$2:$C$100, 3, TRUE)</f>
        <v>0</v>
      </c>
    </row>
    <row r="302" spans="7:11">
      <c r="G302">
        <v>5</v>
      </c>
      <c r="H302">
        <v>49</v>
      </c>
      <c r="I302" s="2">
        <f>INT(DATE($B$3,1,1) + (5+0.5)*365/50)</f>
        <v>0</v>
      </c>
      <c r="J302" s="2">
        <f>I302 - INT(ROUND($B$4 * 30.4375, 0) * (49+0.5)/50)</f>
        <v>0</v>
      </c>
      <c r="K302" s="4">
        <f>VLOOKUP(J302, '1_Rate_Changes'!$A$2:$C$100, 3, TRUE)</f>
        <v>0</v>
      </c>
    </row>
    <row r="303" spans="7:11">
      <c r="G303">
        <v>6</v>
      </c>
      <c r="H303">
        <v>0</v>
      </c>
      <c r="I303" s="2">
        <f>INT(DATE($B$3,1,1) + (6+0.5)*365/50)</f>
        <v>0</v>
      </c>
      <c r="J303" s="2">
        <f>I303 - INT(ROUND($B$4 * 30.4375, 0) * (0+0.5)/50)</f>
        <v>0</v>
      </c>
      <c r="K303" s="4">
        <f>VLOOKUP(J303, '1_Rate_Changes'!$A$2:$C$100, 3, TRUE)</f>
        <v>0</v>
      </c>
    </row>
    <row r="304" spans="7:11">
      <c r="G304">
        <v>6</v>
      </c>
      <c r="H304">
        <v>1</v>
      </c>
      <c r="I304" s="2">
        <f>INT(DATE($B$3,1,1) + (6+0.5)*365/50)</f>
        <v>0</v>
      </c>
      <c r="J304" s="2">
        <f>I304 - INT(ROUND($B$4 * 30.4375, 0) * (1+0.5)/50)</f>
        <v>0</v>
      </c>
      <c r="K304" s="4">
        <f>VLOOKUP(J304, '1_Rate_Changes'!$A$2:$C$100, 3, TRUE)</f>
        <v>0</v>
      </c>
    </row>
    <row r="305" spans="7:11">
      <c r="G305">
        <v>6</v>
      </c>
      <c r="H305">
        <v>2</v>
      </c>
      <c r="I305" s="2">
        <f>INT(DATE($B$3,1,1) + (6+0.5)*365/50)</f>
        <v>0</v>
      </c>
      <c r="J305" s="2">
        <f>I305 - INT(ROUND($B$4 * 30.4375, 0) * (2+0.5)/50)</f>
        <v>0</v>
      </c>
      <c r="K305" s="4">
        <f>VLOOKUP(J305, '1_Rate_Changes'!$A$2:$C$100, 3, TRUE)</f>
        <v>0</v>
      </c>
    </row>
    <row r="306" spans="7:11">
      <c r="G306">
        <v>6</v>
      </c>
      <c r="H306">
        <v>3</v>
      </c>
      <c r="I306" s="2">
        <f>INT(DATE($B$3,1,1) + (6+0.5)*365/50)</f>
        <v>0</v>
      </c>
      <c r="J306" s="2">
        <f>I306 - INT(ROUND($B$4 * 30.4375, 0) * (3+0.5)/50)</f>
        <v>0</v>
      </c>
      <c r="K306" s="4">
        <f>VLOOKUP(J306, '1_Rate_Changes'!$A$2:$C$100, 3, TRUE)</f>
        <v>0</v>
      </c>
    </row>
    <row r="307" spans="7:11">
      <c r="G307">
        <v>6</v>
      </c>
      <c r="H307">
        <v>4</v>
      </c>
      <c r="I307" s="2">
        <f>INT(DATE($B$3,1,1) + (6+0.5)*365/50)</f>
        <v>0</v>
      </c>
      <c r="J307" s="2">
        <f>I307 - INT(ROUND($B$4 * 30.4375, 0) * (4+0.5)/50)</f>
        <v>0</v>
      </c>
      <c r="K307" s="4">
        <f>VLOOKUP(J307, '1_Rate_Changes'!$A$2:$C$100, 3, TRUE)</f>
        <v>0</v>
      </c>
    </row>
    <row r="308" spans="7:11">
      <c r="G308">
        <v>6</v>
      </c>
      <c r="H308">
        <v>5</v>
      </c>
      <c r="I308" s="2">
        <f>INT(DATE($B$3,1,1) + (6+0.5)*365/50)</f>
        <v>0</v>
      </c>
      <c r="J308" s="2">
        <f>I308 - INT(ROUND($B$4 * 30.4375, 0) * (5+0.5)/50)</f>
        <v>0</v>
      </c>
      <c r="K308" s="4">
        <f>VLOOKUP(J308, '1_Rate_Changes'!$A$2:$C$100, 3, TRUE)</f>
        <v>0</v>
      </c>
    </row>
    <row r="309" spans="7:11">
      <c r="G309">
        <v>6</v>
      </c>
      <c r="H309">
        <v>6</v>
      </c>
      <c r="I309" s="2">
        <f>INT(DATE($B$3,1,1) + (6+0.5)*365/50)</f>
        <v>0</v>
      </c>
      <c r="J309" s="2">
        <f>I309 - INT(ROUND($B$4 * 30.4375, 0) * (6+0.5)/50)</f>
        <v>0</v>
      </c>
      <c r="K309" s="4">
        <f>VLOOKUP(J309, '1_Rate_Changes'!$A$2:$C$100, 3, TRUE)</f>
        <v>0</v>
      </c>
    </row>
    <row r="310" spans="7:11">
      <c r="G310">
        <v>6</v>
      </c>
      <c r="H310">
        <v>7</v>
      </c>
      <c r="I310" s="2">
        <f>INT(DATE($B$3,1,1) + (6+0.5)*365/50)</f>
        <v>0</v>
      </c>
      <c r="J310" s="2">
        <f>I310 - INT(ROUND($B$4 * 30.4375, 0) * (7+0.5)/50)</f>
        <v>0</v>
      </c>
      <c r="K310" s="4">
        <f>VLOOKUP(J310, '1_Rate_Changes'!$A$2:$C$100, 3, TRUE)</f>
        <v>0</v>
      </c>
    </row>
    <row r="311" spans="7:11">
      <c r="G311">
        <v>6</v>
      </c>
      <c r="H311">
        <v>8</v>
      </c>
      <c r="I311" s="2">
        <f>INT(DATE($B$3,1,1) + (6+0.5)*365/50)</f>
        <v>0</v>
      </c>
      <c r="J311" s="2">
        <f>I311 - INT(ROUND($B$4 * 30.4375, 0) * (8+0.5)/50)</f>
        <v>0</v>
      </c>
      <c r="K311" s="4">
        <f>VLOOKUP(J311, '1_Rate_Changes'!$A$2:$C$100, 3, TRUE)</f>
        <v>0</v>
      </c>
    </row>
    <row r="312" spans="7:11">
      <c r="G312">
        <v>6</v>
      </c>
      <c r="H312">
        <v>9</v>
      </c>
      <c r="I312" s="2">
        <f>INT(DATE($B$3,1,1) + (6+0.5)*365/50)</f>
        <v>0</v>
      </c>
      <c r="J312" s="2">
        <f>I312 - INT(ROUND($B$4 * 30.4375, 0) * (9+0.5)/50)</f>
        <v>0</v>
      </c>
      <c r="K312" s="4">
        <f>VLOOKUP(J312, '1_Rate_Changes'!$A$2:$C$100, 3, TRUE)</f>
        <v>0</v>
      </c>
    </row>
    <row r="313" spans="7:11">
      <c r="G313">
        <v>6</v>
      </c>
      <c r="H313">
        <v>10</v>
      </c>
      <c r="I313" s="2">
        <f>INT(DATE($B$3,1,1) + (6+0.5)*365/50)</f>
        <v>0</v>
      </c>
      <c r="J313" s="2">
        <f>I313 - INT(ROUND($B$4 * 30.4375, 0) * (10+0.5)/50)</f>
        <v>0</v>
      </c>
      <c r="K313" s="4">
        <f>VLOOKUP(J313, '1_Rate_Changes'!$A$2:$C$100, 3, TRUE)</f>
        <v>0</v>
      </c>
    </row>
    <row r="314" spans="7:11">
      <c r="G314">
        <v>6</v>
      </c>
      <c r="H314">
        <v>11</v>
      </c>
      <c r="I314" s="2">
        <f>INT(DATE($B$3,1,1) + (6+0.5)*365/50)</f>
        <v>0</v>
      </c>
      <c r="J314" s="2">
        <f>I314 - INT(ROUND($B$4 * 30.4375, 0) * (11+0.5)/50)</f>
        <v>0</v>
      </c>
      <c r="K314" s="4">
        <f>VLOOKUP(J314, '1_Rate_Changes'!$A$2:$C$100, 3, TRUE)</f>
        <v>0</v>
      </c>
    </row>
    <row r="315" spans="7:11">
      <c r="G315">
        <v>6</v>
      </c>
      <c r="H315">
        <v>12</v>
      </c>
      <c r="I315" s="2">
        <f>INT(DATE($B$3,1,1) + (6+0.5)*365/50)</f>
        <v>0</v>
      </c>
      <c r="J315" s="2">
        <f>I315 - INT(ROUND($B$4 * 30.4375, 0) * (12+0.5)/50)</f>
        <v>0</v>
      </c>
      <c r="K315" s="4">
        <f>VLOOKUP(J315, '1_Rate_Changes'!$A$2:$C$100, 3, TRUE)</f>
        <v>0</v>
      </c>
    </row>
    <row r="316" spans="7:11">
      <c r="G316">
        <v>6</v>
      </c>
      <c r="H316">
        <v>13</v>
      </c>
      <c r="I316" s="2">
        <f>INT(DATE($B$3,1,1) + (6+0.5)*365/50)</f>
        <v>0</v>
      </c>
      <c r="J316" s="2">
        <f>I316 - INT(ROUND($B$4 * 30.4375, 0) * (13+0.5)/50)</f>
        <v>0</v>
      </c>
      <c r="K316" s="4">
        <f>VLOOKUP(J316, '1_Rate_Changes'!$A$2:$C$100, 3, TRUE)</f>
        <v>0</v>
      </c>
    </row>
    <row r="317" spans="7:11">
      <c r="G317">
        <v>6</v>
      </c>
      <c r="H317">
        <v>14</v>
      </c>
      <c r="I317" s="2">
        <f>INT(DATE($B$3,1,1) + (6+0.5)*365/50)</f>
        <v>0</v>
      </c>
      <c r="J317" s="2">
        <f>I317 - INT(ROUND($B$4 * 30.4375, 0) * (14+0.5)/50)</f>
        <v>0</v>
      </c>
      <c r="K317" s="4">
        <f>VLOOKUP(J317, '1_Rate_Changes'!$A$2:$C$100, 3, TRUE)</f>
        <v>0</v>
      </c>
    </row>
    <row r="318" spans="7:11">
      <c r="G318">
        <v>6</v>
      </c>
      <c r="H318">
        <v>15</v>
      </c>
      <c r="I318" s="2">
        <f>INT(DATE($B$3,1,1) + (6+0.5)*365/50)</f>
        <v>0</v>
      </c>
      <c r="J318" s="2">
        <f>I318 - INT(ROUND($B$4 * 30.4375, 0) * (15+0.5)/50)</f>
        <v>0</v>
      </c>
      <c r="K318" s="4">
        <f>VLOOKUP(J318, '1_Rate_Changes'!$A$2:$C$100, 3, TRUE)</f>
        <v>0</v>
      </c>
    </row>
    <row r="319" spans="7:11">
      <c r="G319">
        <v>6</v>
      </c>
      <c r="H319">
        <v>16</v>
      </c>
      <c r="I319" s="2">
        <f>INT(DATE($B$3,1,1) + (6+0.5)*365/50)</f>
        <v>0</v>
      </c>
      <c r="J319" s="2">
        <f>I319 - INT(ROUND($B$4 * 30.4375, 0) * (16+0.5)/50)</f>
        <v>0</v>
      </c>
      <c r="K319" s="4">
        <f>VLOOKUP(J319, '1_Rate_Changes'!$A$2:$C$100, 3, TRUE)</f>
        <v>0</v>
      </c>
    </row>
    <row r="320" spans="7:11">
      <c r="G320">
        <v>6</v>
      </c>
      <c r="H320">
        <v>17</v>
      </c>
      <c r="I320" s="2">
        <f>INT(DATE($B$3,1,1) + (6+0.5)*365/50)</f>
        <v>0</v>
      </c>
      <c r="J320" s="2">
        <f>I320 - INT(ROUND($B$4 * 30.4375, 0) * (17+0.5)/50)</f>
        <v>0</v>
      </c>
      <c r="K320" s="4">
        <f>VLOOKUP(J320, '1_Rate_Changes'!$A$2:$C$100, 3, TRUE)</f>
        <v>0</v>
      </c>
    </row>
    <row r="321" spans="7:11">
      <c r="G321">
        <v>6</v>
      </c>
      <c r="H321">
        <v>18</v>
      </c>
      <c r="I321" s="2">
        <f>INT(DATE($B$3,1,1) + (6+0.5)*365/50)</f>
        <v>0</v>
      </c>
      <c r="J321" s="2">
        <f>I321 - INT(ROUND($B$4 * 30.4375, 0) * (18+0.5)/50)</f>
        <v>0</v>
      </c>
      <c r="K321" s="4">
        <f>VLOOKUP(J321, '1_Rate_Changes'!$A$2:$C$100, 3, TRUE)</f>
        <v>0</v>
      </c>
    </row>
    <row r="322" spans="7:11">
      <c r="G322">
        <v>6</v>
      </c>
      <c r="H322">
        <v>19</v>
      </c>
      <c r="I322" s="2">
        <f>INT(DATE($B$3,1,1) + (6+0.5)*365/50)</f>
        <v>0</v>
      </c>
      <c r="J322" s="2">
        <f>I322 - INT(ROUND($B$4 * 30.4375, 0) * (19+0.5)/50)</f>
        <v>0</v>
      </c>
      <c r="K322" s="4">
        <f>VLOOKUP(J322, '1_Rate_Changes'!$A$2:$C$100, 3, TRUE)</f>
        <v>0</v>
      </c>
    </row>
    <row r="323" spans="7:11">
      <c r="G323">
        <v>6</v>
      </c>
      <c r="H323">
        <v>20</v>
      </c>
      <c r="I323" s="2">
        <f>INT(DATE($B$3,1,1) + (6+0.5)*365/50)</f>
        <v>0</v>
      </c>
      <c r="J323" s="2">
        <f>I323 - INT(ROUND($B$4 * 30.4375, 0) * (20+0.5)/50)</f>
        <v>0</v>
      </c>
      <c r="K323" s="4">
        <f>VLOOKUP(J323, '1_Rate_Changes'!$A$2:$C$100, 3, TRUE)</f>
        <v>0</v>
      </c>
    </row>
    <row r="324" spans="7:11">
      <c r="G324">
        <v>6</v>
      </c>
      <c r="H324">
        <v>21</v>
      </c>
      <c r="I324" s="2">
        <f>INT(DATE($B$3,1,1) + (6+0.5)*365/50)</f>
        <v>0</v>
      </c>
      <c r="J324" s="2">
        <f>I324 - INT(ROUND($B$4 * 30.4375, 0) * (21+0.5)/50)</f>
        <v>0</v>
      </c>
      <c r="K324" s="4">
        <f>VLOOKUP(J324, '1_Rate_Changes'!$A$2:$C$100, 3, TRUE)</f>
        <v>0</v>
      </c>
    </row>
    <row r="325" spans="7:11">
      <c r="G325">
        <v>6</v>
      </c>
      <c r="H325">
        <v>22</v>
      </c>
      <c r="I325" s="2">
        <f>INT(DATE($B$3,1,1) + (6+0.5)*365/50)</f>
        <v>0</v>
      </c>
      <c r="J325" s="2">
        <f>I325 - INT(ROUND($B$4 * 30.4375, 0) * (22+0.5)/50)</f>
        <v>0</v>
      </c>
      <c r="K325" s="4">
        <f>VLOOKUP(J325, '1_Rate_Changes'!$A$2:$C$100, 3, TRUE)</f>
        <v>0</v>
      </c>
    </row>
    <row r="326" spans="7:11">
      <c r="G326">
        <v>6</v>
      </c>
      <c r="H326">
        <v>23</v>
      </c>
      <c r="I326" s="2">
        <f>INT(DATE($B$3,1,1) + (6+0.5)*365/50)</f>
        <v>0</v>
      </c>
      <c r="J326" s="2">
        <f>I326 - INT(ROUND($B$4 * 30.4375, 0) * (23+0.5)/50)</f>
        <v>0</v>
      </c>
      <c r="K326" s="4">
        <f>VLOOKUP(J326, '1_Rate_Changes'!$A$2:$C$100, 3, TRUE)</f>
        <v>0</v>
      </c>
    </row>
    <row r="327" spans="7:11">
      <c r="G327">
        <v>6</v>
      </c>
      <c r="H327">
        <v>24</v>
      </c>
      <c r="I327" s="2">
        <f>INT(DATE($B$3,1,1) + (6+0.5)*365/50)</f>
        <v>0</v>
      </c>
      <c r="J327" s="2">
        <f>I327 - INT(ROUND($B$4 * 30.4375, 0) * (24+0.5)/50)</f>
        <v>0</v>
      </c>
      <c r="K327" s="4">
        <f>VLOOKUP(J327, '1_Rate_Changes'!$A$2:$C$100, 3, TRUE)</f>
        <v>0</v>
      </c>
    </row>
    <row r="328" spans="7:11">
      <c r="G328">
        <v>6</v>
      </c>
      <c r="H328">
        <v>25</v>
      </c>
      <c r="I328" s="2">
        <f>INT(DATE($B$3,1,1) + (6+0.5)*365/50)</f>
        <v>0</v>
      </c>
      <c r="J328" s="2">
        <f>I328 - INT(ROUND($B$4 * 30.4375, 0) * (25+0.5)/50)</f>
        <v>0</v>
      </c>
      <c r="K328" s="4">
        <f>VLOOKUP(J328, '1_Rate_Changes'!$A$2:$C$100, 3, TRUE)</f>
        <v>0</v>
      </c>
    </row>
    <row r="329" spans="7:11">
      <c r="G329">
        <v>6</v>
      </c>
      <c r="H329">
        <v>26</v>
      </c>
      <c r="I329" s="2">
        <f>INT(DATE($B$3,1,1) + (6+0.5)*365/50)</f>
        <v>0</v>
      </c>
      <c r="J329" s="2">
        <f>I329 - INT(ROUND($B$4 * 30.4375, 0) * (26+0.5)/50)</f>
        <v>0</v>
      </c>
      <c r="K329" s="4">
        <f>VLOOKUP(J329, '1_Rate_Changes'!$A$2:$C$100, 3, TRUE)</f>
        <v>0</v>
      </c>
    </row>
    <row r="330" spans="7:11">
      <c r="G330">
        <v>6</v>
      </c>
      <c r="H330">
        <v>27</v>
      </c>
      <c r="I330" s="2">
        <f>INT(DATE($B$3,1,1) + (6+0.5)*365/50)</f>
        <v>0</v>
      </c>
      <c r="J330" s="2">
        <f>I330 - INT(ROUND($B$4 * 30.4375, 0) * (27+0.5)/50)</f>
        <v>0</v>
      </c>
      <c r="K330" s="4">
        <f>VLOOKUP(J330, '1_Rate_Changes'!$A$2:$C$100, 3, TRUE)</f>
        <v>0</v>
      </c>
    </row>
    <row r="331" spans="7:11">
      <c r="G331">
        <v>6</v>
      </c>
      <c r="H331">
        <v>28</v>
      </c>
      <c r="I331" s="2">
        <f>INT(DATE($B$3,1,1) + (6+0.5)*365/50)</f>
        <v>0</v>
      </c>
      <c r="J331" s="2">
        <f>I331 - INT(ROUND($B$4 * 30.4375, 0) * (28+0.5)/50)</f>
        <v>0</v>
      </c>
      <c r="K331" s="4">
        <f>VLOOKUP(J331, '1_Rate_Changes'!$A$2:$C$100, 3, TRUE)</f>
        <v>0</v>
      </c>
    </row>
    <row r="332" spans="7:11">
      <c r="G332">
        <v>6</v>
      </c>
      <c r="H332">
        <v>29</v>
      </c>
      <c r="I332" s="2">
        <f>INT(DATE($B$3,1,1) + (6+0.5)*365/50)</f>
        <v>0</v>
      </c>
      <c r="J332" s="2">
        <f>I332 - INT(ROUND($B$4 * 30.4375, 0) * (29+0.5)/50)</f>
        <v>0</v>
      </c>
      <c r="K332" s="4">
        <f>VLOOKUP(J332, '1_Rate_Changes'!$A$2:$C$100, 3, TRUE)</f>
        <v>0</v>
      </c>
    </row>
    <row r="333" spans="7:11">
      <c r="G333">
        <v>6</v>
      </c>
      <c r="H333">
        <v>30</v>
      </c>
      <c r="I333" s="2">
        <f>INT(DATE($B$3,1,1) + (6+0.5)*365/50)</f>
        <v>0</v>
      </c>
      <c r="J333" s="2">
        <f>I333 - INT(ROUND($B$4 * 30.4375, 0) * (30+0.5)/50)</f>
        <v>0</v>
      </c>
      <c r="K333" s="4">
        <f>VLOOKUP(J333, '1_Rate_Changes'!$A$2:$C$100, 3, TRUE)</f>
        <v>0</v>
      </c>
    </row>
    <row r="334" spans="7:11">
      <c r="G334">
        <v>6</v>
      </c>
      <c r="H334">
        <v>31</v>
      </c>
      <c r="I334" s="2">
        <f>INT(DATE($B$3,1,1) + (6+0.5)*365/50)</f>
        <v>0</v>
      </c>
      <c r="J334" s="2">
        <f>I334 - INT(ROUND($B$4 * 30.4375, 0) * (31+0.5)/50)</f>
        <v>0</v>
      </c>
      <c r="K334" s="4">
        <f>VLOOKUP(J334, '1_Rate_Changes'!$A$2:$C$100, 3, TRUE)</f>
        <v>0</v>
      </c>
    </row>
    <row r="335" spans="7:11">
      <c r="G335">
        <v>6</v>
      </c>
      <c r="H335">
        <v>32</v>
      </c>
      <c r="I335" s="2">
        <f>INT(DATE($B$3,1,1) + (6+0.5)*365/50)</f>
        <v>0</v>
      </c>
      <c r="J335" s="2">
        <f>I335 - INT(ROUND($B$4 * 30.4375, 0) * (32+0.5)/50)</f>
        <v>0</v>
      </c>
      <c r="K335" s="4">
        <f>VLOOKUP(J335, '1_Rate_Changes'!$A$2:$C$100, 3, TRUE)</f>
        <v>0</v>
      </c>
    </row>
    <row r="336" spans="7:11">
      <c r="G336">
        <v>6</v>
      </c>
      <c r="H336">
        <v>33</v>
      </c>
      <c r="I336" s="2">
        <f>INT(DATE($B$3,1,1) + (6+0.5)*365/50)</f>
        <v>0</v>
      </c>
      <c r="J336" s="2">
        <f>I336 - INT(ROUND($B$4 * 30.4375, 0) * (33+0.5)/50)</f>
        <v>0</v>
      </c>
      <c r="K336" s="4">
        <f>VLOOKUP(J336, '1_Rate_Changes'!$A$2:$C$100, 3, TRUE)</f>
        <v>0</v>
      </c>
    </row>
    <row r="337" spans="7:11">
      <c r="G337">
        <v>6</v>
      </c>
      <c r="H337">
        <v>34</v>
      </c>
      <c r="I337" s="2">
        <f>INT(DATE($B$3,1,1) + (6+0.5)*365/50)</f>
        <v>0</v>
      </c>
      <c r="J337" s="2">
        <f>I337 - INT(ROUND($B$4 * 30.4375, 0) * (34+0.5)/50)</f>
        <v>0</v>
      </c>
      <c r="K337" s="4">
        <f>VLOOKUP(J337, '1_Rate_Changes'!$A$2:$C$100, 3, TRUE)</f>
        <v>0</v>
      </c>
    </row>
    <row r="338" spans="7:11">
      <c r="G338">
        <v>6</v>
      </c>
      <c r="H338">
        <v>35</v>
      </c>
      <c r="I338" s="2">
        <f>INT(DATE($B$3,1,1) + (6+0.5)*365/50)</f>
        <v>0</v>
      </c>
      <c r="J338" s="2">
        <f>I338 - INT(ROUND($B$4 * 30.4375, 0) * (35+0.5)/50)</f>
        <v>0</v>
      </c>
      <c r="K338" s="4">
        <f>VLOOKUP(J338, '1_Rate_Changes'!$A$2:$C$100, 3, TRUE)</f>
        <v>0</v>
      </c>
    </row>
    <row r="339" spans="7:11">
      <c r="G339">
        <v>6</v>
      </c>
      <c r="H339">
        <v>36</v>
      </c>
      <c r="I339" s="2">
        <f>INT(DATE($B$3,1,1) + (6+0.5)*365/50)</f>
        <v>0</v>
      </c>
      <c r="J339" s="2">
        <f>I339 - INT(ROUND($B$4 * 30.4375, 0) * (36+0.5)/50)</f>
        <v>0</v>
      </c>
      <c r="K339" s="4">
        <f>VLOOKUP(J339, '1_Rate_Changes'!$A$2:$C$100, 3, TRUE)</f>
        <v>0</v>
      </c>
    </row>
    <row r="340" spans="7:11">
      <c r="G340">
        <v>6</v>
      </c>
      <c r="H340">
        <v>37</v>
      </c>
      <c r="I340" s="2">
        <f>INT(DATE($B$3,1,1) + (6+0.5)*365/50)</f>
        <v>0</v>
      </c>
      <c r="J340" s="2">
        <f>I340 - INT(ROUND($B$4 * 30.4375, 0) * (37+0.5)/50)</f>
        <v>0</v>
      </c>
      <c r="K340" s="4">
        <f>VLOOKUP(J340, '1_Rate_Changes'!$A$2:$C$100, 3, TRUE)</f>
        <v>0</v>
      </c>
    </row>
    <row r="341" spans="7:11">
      <c r="G341">
        <v>6</v>
      </c>
      <c r="H341">
        <v>38</v>
      </c>
      <c r="I341" s="2">
        <f>INT(DATE($B$3,1,1) + (6+0.5)*365/50)</f>
        <v>0</v>
      </c>
      <c r="J341" s="2">
        <f>I341 - INT(ROUND($B$4 * 30.4375, 0) * (38+0.5)/50)</f>
        <v>0</v>
      </c>
      <c r="K341" s="4">
        <f>VLOOKUP(J341, '1_Rate_Changes'!$A$2:$C$100, 3, TRUE)</f>
        <v>0</v>
      </c>
    </row>
    <row r="342" spans="7:11">
      <c r="G342">
        <v>6</v>
      </c>
      <c r="H342">
        <v>39</v>
      </c>
      <c r="I342" s="2">
        <f>INT(DATE($B$3,1,1) + (6+0.5)*365/50)</f>
        <v>0</v>
      </c>
      <c r="J342" s="2">
        <f>I342 - INT(ROUND($B$4 * 30.4375, 0) * (39+0.5)/50)</f>
        <v>0</v>
      </c>
      <c r="K342" s="4">
        <f>VLOOKUP(J342, '1_Rate_Changes'!$A$2:$C$100, 3, TRUE)</f>
        <v>0</v>
      </c>
    </row>
    <row r="343" spans="7:11">
      <c r="G343">
        <v>6</v>
      </c>
      <c r="H343">
        <v>40</v>
      </c>
      <c r="I343" s="2">
        <f>INT(DATE($B$3,1,1) + (6+0.5)*365/50)</f>
        <v>0</v>
      </c>
      <c r="J343" s="2">
        <f>I343 - INT(ROUND($B$4 * 30.4375, 0) * (40+0.5)/50)</f>
        <v>0</v>
      </c>
      <c r="K343" s="4">
        <f>VLOOKUP(J343, '1_Rate_Changes'!$A$2:$C$100, 3, TRUE)</f>
        <v>0</v>
      </c>
    </row>
    <row r="344" spans="7:11">
      <c r="G344">
        <v>6</v>
      </c>
      <c r="H344">
        <v>41</v>
      </c>
      <c r="I344" s="2">
        <f>INT(DATE($B$3,1,1) + (6+0.5)*365/50)</f>
        <v>0</v>
      </c>
      <c r="J344" s="2">
        <f>I344 - INT(ROUND($B$4 * 30.4375, 0) * (41+0.5)/50)</f>
        <v>0</v>
      </c>
      <c r="K344" s="4">
        <f>VLOOKUP(J344, '1_Rate_Changes'!$A$2:$C$100, 3, TRUE)</f>
        <v>0</v>
      </c>
    </row>
    <row r="345" spans="7:11">
      <c r="G345">
        <v>6</v>
      </c>
      <c r="H345">
        <v>42</v>
      </c>
      <c r="I345" s="2">
        <f>INT(DATE($B$3,1,1) + (6+0.5)*365/50)</f>
        <v>0</v>
      </c>
      <c r="J345" s="2">
        <f>I345 - INT(ROUND($B$4 * 30.4375, 0) * (42+0.5)/50)</f>
        <v>0</v>
      </c>
      <c r="K345" s="4">
        <f>VLOOKUP(J345, '1_Rate_Changes'!$A$2:$C$100, 3, TRUE)</f>
        <v>0</v>
      </c>
    </row>
    <row r="346" spans="7:11">
      <c r="G346">
        <v>6</v>
      </c>
      <c r="H346">
        <v>43</v>
      </c>
      <c r="I346" s="2">
        <f>INT(DATE($B$3,1,1) + (6+0.5)*365/50)</f>
        <v>0</v>
      </c>
      <c r="J346" s="2">
        <f>I346 - INT(ROUND($B$4 * 30.4375, 0) * (43+0.5)/50)</f>
        <v>0</v>
      </c>
      <c r="K346" s="4">
        <f>VLOOKUP(J346, '1_Rate_Changes'!$A$2:$C$100, 3, TRUE)</f>
        <v>0</v>
      </c>
    </row>
    <row r="347" spans="7:11">
      <c r="G347">
        <v>6</v>
      </c>
      <c r="H347">
        <v>44</v>
      </c>
      <c r="I347" s="2">
        <f>INT(DATE($B$3,1,1) + (6+0.5)*365/50)</f>
        <v>0</v>
      </c>
      <c r="J347" s="2">
        <f>I347 - INT(ROUND($B$4 * 30.4375, 0) * (44+0.5)/50)</f>
        <v>0</v>
      </c>
      <c r="K347" s="4">
        <f>VLOOKUP(J347, '1_Rate_Changes'!$A$2:$C$100, 3, TRUE)</f>
        <v>0</v>
      </c>
    </row>
    <row r="348" spans="7:11">
      <c r="G348">
        <v>6</v>
      </c>
      <c r="H348">
        <v>45</v>
      </c>
      <c r="I348" s="2">
        <f>INT(DATE($B$3,1,1) + (6+0.5)*365/50)</f>
        <v>0</v>
      </c>
      <c r="J348" s="2">
        <f>I348 - INT(ROUND($B$4 * 30.4375, 0) * (45+0.5)/50)</f>
        <v>0</v>
      </c>
      <c r="K348" s="4">
        <f>VLOOKUP(J348, '1_Rate_Changes'!$A$2:$C$100, 3, TRUE)</f>
        <v>0</v>
      </c>
    </row>
    <row r="349" spans="7:11">
      <c r="G349">
        <v>6</v>
      </c>
      <c r="H349">
        <v>46</v>
      </c>
      <c r="I349" s="2">
        <f>INT(DATE($B$3,1,1) + (6+0.5)*365/50)</f>
        <v>0</v>
      </c>
      <c r="J349" s="2">
        <f>I349 - INT(ROUND($B$4 * 30.4375, 0) * (46+0.5)/50)</f>
        <v>0</v>
      </c>
      <c r="K349" s="4">
        <f>VLOOKUP(J349, '1_Rate_Changes'!$A$2:$C$100, 3, TRUE)</f>
        <v>0</v>
      </c>
    </row>
    <row r="350" spans="7:11">
      <c r="G350">
        <v>6</v>
      </c>
      <c r="H350">
        <v>47</v>
      </c>
      <c r="I350" s="2">
        <f>INT(DATE($B$3,1,1) + (6+0.5)*365/50)</f>
        <v>0</v>
      </c>
      <c r="J350" s="2">
        <f>I350 - INT(ROUND($B$4 * 30.4375, 0) * (47+0.5)/50)</f>
        <v>0</v>
      </c>
      <c r="K350" s="4">
        <f>VLOOKUP(J350, '1_Rate_Changes'!$A$2:$C$100, 3, TRUE)</f>
        <v>0</v>
      </c>
    </row>
    <row r="351" spans="7:11">
      <c r="G351">
        <v>6</v>
      </c>
      <c r="H351">
        <v>48</v>
      </c>
      <c r="I351" s="2">
        <f>INT(DATE($B$3,1,1) + (6+0.5)*365/50)</f>
        <v>0</v>
      </c>
      <c r="J351" s="2">
        <f>I351 - INT(ROUND($B$4 * 30.4375, 0) * (48+0.5)/50)</f>
        <v>0</v>
      </c>
      <c r="K351" s="4">
        <f>VLOOKUP(J351, '1_Rate_Changes'!$A$2:$C$100, 3, TRUE)</f>
        <v>0</v>
      </c>
    </row>
    <row r="352" spans="7:11">
      <c r="G352">
        <v>6</v>
      </c>
      <c r="H352">
        <v>49</v>
      </c>
      <c r="I352" s="2">
        <f>INT(DATE($B$3,1,1) + (6+0.5)*365/50)</f>
        <v>0</v>
      </c>
      <c r="J352" s="2">
        <f>I352 - INT(ROUND($B$4 * 30.4375, 0) * (49+0.5)/50)</f>
        <v>0</v>
      </c>
      <c r="K352" s="4">
        <f>VLOOKUP(J352, '1_Rate_Changes'!$A$2:$C$100, 3, TRUE)</f>
        <v>0</v>
      </c>
    </row>
    <row r="353" spans="7:11">
      <c r="G353">
        <v>7</v>
      </c>
      <c r="H353">
        <v>0</v>
      </c>
      <c r="I353" s="2">
        <f>INT(DATE($B$3,1,1) + (7+0.5)*365/50)</f>
        <v>0</v>
      </c>
      <c r="J353" s="2">
        <f>I353 - INT(ROUND($B$4 * 30.4375, 0) * (0+0.5)/50)</f>
        <v>0</v>
      </c>
      <c r="K353" s="4">
        <f>VLOOKUP(J353, '1_Rate_Changes'!$A$2:$C$100, 3, TRUE)</f>
        <v>0</v>
      </c>
    </row>
    <row r="354" spans="7:11">
      <c r="G354">
        <v>7</v>
      </c>
      <c r="H354">
        <v>1</v>
      </c>
      <c r="I354" s="2">
        <f>INT(DATE($B$3,1,1) + (7+0.5)*365/50)</f>
        <v>0</v>
      </c>
      <c r="J354" s="2">
        <f>I354 - INT(ROUND($B$4 * 30.4375, 0) * (1+0.5)/50)</f>
        <v>0</v>
      </c>
      <c r="K354" s="4">
        <f>VLOOKUP(J354, '1_Rate_Changes'!$A$2:$C$100, 3, TRUE)</f>
        <v>0</v>
      </c>
    </row>
    <row r="355" spans="7:11">
      <c r="G355">
        <v>7</v>
      </c>
      <c r="H355">
        <v>2</v>
      </c>
      <c r="I355" s="2">
        <f>INT(DATE($B$3,1,1) + (7+0.5)*365/50)</f>
        <v>0</v>
      </c>
      <c r="J355" s="2">
        <f>I355 - INT(ROUND($B$4 * 30.4375, 0) * (2+0.5)/50)</f>
        <v>0</v>
      </c>
      <c r="K355" s="4">
        <f>VLOOKUP(J355, '1_Rate_Changes'!$A$2:$C$100, 3, TRUE)</f>
        <v>0</v>
      </c>
    </row>
    <row r="356" spans="7:11">
      <c r="G356">
        <v>7</v>
      </c>
      <c r="H356">
        <v>3</v>
      </c>
      <c r="I356" s="2">
        <f>INT(DATE($B$3,1,1) + (7+0.5)*365/50)</f>
        <v>0</v>
      </c>
      <c r="J356" s="2">
        <f>I356 - INT(ROUND($B$4 * 30.4375, 0) * (3+0.5)/50)</f>
        <v>0</v>
      </c>
      <c r="K356" s="4">
        <f>VLOOKUP(J356, '1_Rate_Changes'!$A$2:$C$100, 3, TRUE)</f>
        <v>0</v>
      </c>
    </row>
    <row r="357" spans="7:11">
      <c r="G357">
        <v>7</v>
      </c>
      <c r="H357">
        <v>4</v>
      </c>
      <c r="I357" s="2">
        <f>INT(DATE($B$3,1,1) + (7+0.5)*365/50)</f>
        <v>0</v>
      </c>
      <c r="J357" s="2">
        <f>I357 - INT(ROUND($B$4 * 30.4375, 0) * (4+0.5)/50)</f>
        <v>0</v>
      </c>
      <c r="K357" s="4">
        <f>VLOOKUP(J357, '1_Rate_Changes'!$A$2:$C$100, 3, TRUE)</f>
        <v>0</v>
      </c>
    </row>
    <row r="358" spans="7:11">
      <c r="G358">
        <v>7</v>
      </c>
      <c r="H358">
        <v>5</v>
      </c>
      <c r="I358" s="2">
        <f>INT(DATE($B$3,1,1) + (7+0.5)*365/50)</f>
        <v>0</v>
      </c>
      <c r="J358" s="2">
        <f>I358 - INT(ROUND($B$4 * 30.4375, 0) * (5+0.5)/50)</f>
        <v>0</v>
      </c>
      <c r="K358" s="4">
        <f>VLOOKUP(J358, '1_Rate_Changes'!$A$2:$C$100, 3, TRUE)</f>
        <v>0</v>
      </c>
    </row>
    <row r="359" spans="7:11">
      <c r="G359">
        <v>7</v>
      </c>
      <c r="H359">
        <v>6</v>
      </c>
      <c r="I359" s="2">
        <f>INT(DATE($B$3,1,1) + (7+0.5)*365/50)</f>
        <v>0</v>
      </c>
      <c r="J359" s="2">
        <f>I359 - INT(ROUND($B$4 * 30.4375, 0) * (6+0.5)/50)</f>
        <v>0</v>
      </c>
      <c r="K359" s="4">
        <f>VLOOKUP(J359, '1_Rate_Changes'!$A$2:$C$100, 3, TRUE)</f>
        <v>0</v>
      </c>
    </row>
    <row r="360" spans="7:11">
      <c r="G360">
        <v>7</v>
      </c>
      <c r="H360">
        <v>7</v>
      </c>
      <c r="I360" s="2">
        <f>INT(DATE($B$3,1,1) + (7+0.5)*365/50)</f>
        <v>0</v>
      </c>
      <c r="J360" s="2">
        <f>I360 - INT(ROUND($B$4 * 30.4375, 0) * (7+0.5)/50)</f>
        <v>0</v>
      </c>
      <c r="K360" s="4">
        <f>VLOOKUP(J360, '1_Rate_Changes'!$A$2:$C$100, 3, TRUE)</f>
        <v>0</v>
      </c>
    </row>
    <row r="361" spans="7:11">
      <c r="G361">
        <v>7</v>
      </c>
      <c r="H361">
        <v>8</v>
      </c>
      <c r="I361" s="2">
        <f>INT(DATE($B$3,1,1) + (7+0.5)*365/50)</f>
        <v>0</v>
      </c>
      <c r="J361" s="2">
        <f>I361 - INT(ROUND($B$4 * 30.4375, 0) * (8+0.5)/50)</f>
        <v>0</v>
      </c>
      <c r="K361" s="4">
        <f>VLOOKUP(J361, '1_Rate_Changes'!$A$2:$C$100, 3, TRUE)</f>
        <v>0</v>
      </c>
    </row>
    <row r="362" spans="7:11">
      <c r="G362">
        <v>7</v>
      </c>
      <c r="H362">
        <v>9</v>
      </c>
      <c r="I362" s="2">
        <f>INT(DATE($B$3,1,1) + (7+0.5)*365/50)</f>
        <v>0</v>
      </c>
      <c r="J362" s="2">
        <f>I362 - INT(ROUND($B$4 * 30.4375, 0) * (9+0.5)/50)</f>
        <v>0</v>
      </c>
      <c r="K362" s="4">
        <f>VLOOKUP(J362, '1_Rate_Changes'!$A$2:$C$100, 3, TRUE)</f>
        <v>0</v>
      </c>
    </row>
    <row r="363" spans="7:11">
      <c r="G363">
        <v>7</v>
      </c>
      <c r="H363">
        <v>10</v>
      </c>
      <c r="I363" s="2">
        <f>INT(DATE($B$3,1,1) + (7+0.5)*365/50)</f>
        <v>0</v>
      </c>
      <c r="J363" s="2">
        <f>I363 - INT(ROUND($B$4 * 30.4375, 0) * (10+0.5)/50)</f>
        <v>0</v>
      </c>
      <c r="K363" s="4">
        <f>VLOOKUP(J363, '1_Rate_Changes'!$A$2:$C$100, 3, TRUE)</f>
        <v>0</v>
      </c>
    </row>
    <row r="364" spans="7:11">
      <c r="G364">
        <v>7</v>
      </c>
      <c r="H364">
        <v>11</v>
      </c>
      <c r="I364" s="2">
        <f>INT(DATE($B$3,1,1) + (7+0.5)*365/50)</f>
        <v>0</v>
      </c>
      <c r="J364" s="2">
        <f>I364 - INT(ROUND($B$4 * 30.4375, 0) * (11+0.5)/50)</f>
        <v>0</v>
      </c>
      <c r="K364" s="4">
        <f>VLOOKUP(J364, '1_Rate_Changes'!$A$2:$C$100, 3, TRUE)</f>
        <v>0</v>
      </c>
    </row>
    <row r="365" spans="7:11">
      <c r="G365">
        <v>7</v>
      </c>
      <c r="H365">
        <v>12</v>
      </c>
      <c r="I365" s="2">
        <f>INT(DATE($B$3,1,1) + (7+0.5)*365/50)</f>
        <v>0</v>
      </c>
      <c r="J365" s="2">
        <f>I365 - INT(ROUND($B$4 * 30.4375, 0) * (12+0.5)/50)</f>
        <v>0</v>
      </c>
      <c r="K365" s="4">
        <f>VLOOKUP(J365, '1_Rate_Changes'!$A$2:$C$100, 3, TRUE)</f>
        <v>0</v>
      </c>
    </row>
    <row r="366" spans="7:11">
      <c r="G366">
        <v>7</v>
      </c>
      <c r="H366">
        <v>13</v>
      </c>
      <c r="I366" s="2">
        <f>INT(DATE($B$3,1,1) + (7+0.5)*365/50)</f>
        <v>0</v>
      </c>
      <c r="J366" s="2">
        <f>I366 - INT(ROUND($B$4 * 30.4375, 0) * (13+0.5)/50)</f>
        <v>0</v>
      </c>
      <c r="K366" s="4">
        <f>VLOOKUP(J366, '1_Rate_Changes'!$A$2:$C$100, 3, TRUE)</f>
        <v>0</v>
      </c>
    </row>
    <row r="367" spans="7:11">
      <c r="G367">
        <v>7</v>
      </c>
      <c r="H367">
        <v>14</v>
      </c>
      <c r="I367" s="2">
        <f>INT(DATE($B$3,1,1) + (7+0.5)*365/50)</f>
        <v>0</v>
      </c>
      <c r="J367" s="2">
        <f>I367 - INT(ROUND($B$4 * 30.4375, 0) * (14+0.5)/50)</f>
        <v>0</v>
      </c>
      <c r="K367" s="4">
        <f>VLOOKUP(J367, '1_Rate_Changes'!$A$2:$C$100, 3, TRUE)</f>
        <v>0</v>
      </c>
    </row>
    <row r="368" spans="7:11">
      <c r="G368">
        <v>7</v>
      </c>
      <c r="H368">
        <v>15</v>
      </c>
      <c r="I368" s="2">
        <f>INT(DATE($B$3,1,1) + (7+0.5)*365/50)</f>
        <v>0</v>
      </c>
      <c r="J368" s="2">
        <f>I368 - INT(ROUND($B$4 * 30.4375, 0) * (15+0.5)/50)</f>
        <v>0</v>
      </c>
      <c r="K368" s="4">
        <f>VLOOKUP(J368, '1_Rate_Changes'!$A$2:$C$100, 3, TRUE)</f>
        <v>0</v>
      </c>
    </row>
    <row r="369" spans="7:11">
      <c r="G369">
        <v>7</v>
      </c>
      <c r="H369">
        <v>16</v>
      </c>
      <c r="I369" s="2">
        <f>INT(DATE($B$3,1,1) + (7+0.5)*365/50)</f>
        <v>0</v>
      </c>
      <c r="J369" s="2">
        <f>I369 - INT(ROUND($B$4 * 30.4375, 0) * (16+0.5)/50)</f>
        <v>0</v>
      </c>
      <c r="K369" s="4">
        <f>VLOOKUP(J369, '1_Rate_Changes'!$A$2:$C$100, 3, TRUE)</f>
        <v>0</v>
      </c>
    </row>
    <row r="370" spans="7:11">
      <c r="G370">
        <v>7</v>
      </c>
      <c r="H370">
        <v>17</v>
      </c>
      <c r="I370" s="2">
        <f>INT(DATE($B$3,1,1) + (7+0.5)*365/50)</f>
        <v>0</v>
      </c>
      <c r="J370" s="2">
        <f>I370 - INT(ROUND($B$4 * 30.4375, 0) * (17+0.5)/50)</f>
        <v>0</v>
      </c>
      <c r="K370" s="4">
        <f>VLOOKUP(J370, '1_Rate_Changes'!$A$2:$C$100, 3, TRUE)</f>
        <v>0</v>
      </c>
    </row>
    <row r="371" spans="7:11">
      <c r="G371">
        <v>7</v>
      </c>
      <c r="H371">
        <v>18</v>
      </c>
      <c r="I371" s="2">
        <f>INT(DATE($B$3,1,1) + (7+0.5)*365/50)</f>
        <v>0</v>
      </c>
      <c r="J371" s="2">
        <f>I371 - INT(ROUND($B$4 * 30.4375, 0) * (18+0.5)/50)</f>
        <v>0</v>
      </c>
      <c r="K371" s="4">
        <f>VLOOKUP(J371, '1_Rate_Changes'!$A$2:$C$100, 3, TRUE)</f>
        <v>0</v>
      </c>
    </row>
    <row r="372" spans="7:11">
      <c r="G372">
        <v>7</v>
      </c>
      <c r="H372">
        <v>19</v>
      </c>
      <c r="I372" s="2">
        <f>INT(DATE($B$3,1,1) + (7+0.5)*365/50)</f>
        <v>0</v>
      </c>
      <c r="J372" s="2">
        <f>I372 - INT(ROUND($B$4 * 30.4375, 0) * (19+0.5)/50)</f>
        <v>0</v>
      </c>
      <c r="K372" s="4">
        <f>VLOOKUP(J372, '1_Rate_Changes'!$A$2:$C$100, 3, TRUE)</f>
        <v>0</v>
      </c>
    </row>
    <row r="373" spans="7:11">
      <c r="G373">
        <v>7</v>
      </c>
      <c r="H373">
        <v>20</v>
      </c>
      <c r="I373" s="2">
        <f>INT(DATE($B$3,1,1) + (7+0.5)*365/50)</f>
        <v>0</v>
      </c>
      <c r="J373" s="2">
        <f>I373 - INT(ROUND($B$4 * 30.4375, 0) * (20+0.5)/50)</f>
        <v>0</v>
      </c>
      <c r="K373" s="4">
        <f>VLOOKUP(J373, '1_Rate_Changes'!$A$2:$C$100, 3, TRUE)</f>
        <v>0</v>
      </c>
    </row>
    <row r="374" spans="7:11">
      <c r="G374">
        <v>7</v>
      </c>
      <c r="H374">
        <v>21</v>
      </c>
      <c r="I374" s="2">
        <f>INT(DATE($B$3,1,1) + (7+0.5)*365/50)</f>
        <v>0</v>
      </c>
      <c r="J374" s="2">
        <f>I374 - INT(ROUND($B$4 * 30.4375, 0) * (21+0.5)/50)</f>
        <v>0</v>
      </c>
      <c r="K374" s="4">
        <f>VLOOKUP(J374, '1_Rate_Changes'!$A$2:$C$100, 3, TRUE)</f>
        <v>0</v>
      </c>
    </row>
    <row r="375" spans="7:11">
      <c r="G375">
        <v>7</v>
      </c>
      <c r="H375">
        <v>22</v>
      </c>
      <c r="I375" s="2">
        <f>INT(DATE($B$3,1,1) + (7+0.5)*365/50)</f>
        <v>0</v>
      </c>
      <c r="J375" s="2">
        <f>I375 - INT(ROUND($B$4 * 30.4375, 0) * (22+0.5)/50)</f>
        <v>0</v>
      </c>
      <c r="K375" s="4">
        <f>VLOOKUP(J375, '1_Rate_Changes'!$A$2:$C$100, 3, TRUE)</f>
        <v>0</v>
      </c>
    </row>
    <row r="376" spans="7:11">
      <c r="G376">
        <v>7</v>
      </c>
      <c r="H376">
        <v>23</v>
      </c>
      <c r="I376" s="2">
        <f>INT(DATE($B$3,1,1) + (7+0.5)*365/50)</f>
        <v>0</v>
      </c>
      <c r="J376" s="2">
        <f>I376 - INT(ROUND($B$4 * 30.4375, 0) * (23+0.5)/50)</f>
        <v>0</v>
      </c>
      <c r="K376" s="4">
        <f>VLOOKUP(J376, '1_Rate_Changes'!$A$2:$C$100, 3, TRUE)</f>
        <v>0</v>
      </c>
    </row>
    <row r="377" spans="7:11">
      <c r="G377">
        <v>7</v>
      </c>
      <c r="H377">
        <v>24</v>
      </c>
      <c r="I377" s="2">
        <f>INT(DATE($B$3,1,1) + (7+0.5)*365/50)</f>
        <v>0</v>
      </c>
      <c r="J377" s="2">
        <f>I377 - INT(ROUND($B$4 * 30.4375, 0) * (24+0.5)/50)</f>
        <v>0</v>
      </c>
      <c r="K377" s="4">
        <f>VLOOKUP(J377, '1_Rate_Changes'!$A$2:$C$100, 3, TRUE)</f>
        <v>0</v>
      </c>
    </row>
    <row r="378" spans="7:11">
      <c r="G378">
        <v>7</v>
      </c>
      <c r="H378">
        <v>25</v>
      </c>
      <c r="I378" s="2">
        <f>INT(DATE($B$3,1,1) + (7+0.5)*365/50)</f>
        <v>0</v>
      </c>
      <c r="J378" s="2">
        <f>I378 - INT(ROUND($B$4 * 30.4375, 0) * (25+0.5)/50)</f>
        <v>0</v>
      </c>
      <c r="K378" s="4">
        <f>VLOOKUP(J378, '1_Rate_Changes'!$A$2:$C$100, 3, TRUE)</f>
        <v>0</v>
      </c>
    </row>
    <row r="379" spans="7:11">
      <c r="G379">
        <v>7</v>
      </c>
      <c r="H379">
        <v>26</v>
      </c>
      <c r="I379" s="2">
        <f>INT(DATE($B$3,1,1) + (7+0.5)*365/50)</f>
        <v>0</v>
      </c>
      <c r="J379" s="2">
        <f>I379 - INT(ROUND($B$4 * 30.4375, 0) * (26+0.5)/50)</f>
        <v>0</v>
      </c>
      <c r="K379" s="4">
        <f>VLOOKUP(J379, '1_Rate_Changes'!$A$2:$C$100, 3, TRUE)</f>
        <v>0</v>
      </c>
    </row>
    <row r="380" spans="7:11">
      <c r="G380">
        <v>7</v>
      </c>
      <c r="H380">
        <v>27</v>
      </c>
      <c r="I380" s="2">
        <f>INT(DATE($B$3,1,1) + (7+0.5)*365/50)</f>
        <v>0</v>
      </c>
      <c r="J380" s="2">
        <f>I380 - INT(ROUND($B$4 * 30.4375, 0) * (27+0.5)/50)</f>
        <v>0</v>
      </c>
      <c r="K380" s="4">
        <f>VLOOKUP(J380, '1_Rate_Changes'!$A$2:$C$100, 3, TRUE)</f>
        <v>0</v>
      </c>
    </row>
    <row r="381" spans="7:11">
      <c r="G381">
        <v>7</v>
      </c>
      <c r="H381">
        <v>28</v>
      </c>
      <c r="I381" s="2">
        <f>INT(DATE($B$3,1,1) + (7+0.5)*365/50)</f>
        <v>0</v>
      </c>
      <c r="J381" s="2">
        <f>I381 - INT(ROUND($B$4 * 30.4375, 0) * (28+0.5)/50)</f>
        <v>0</v>
      </c>
      <c r="K381" s="4">
        <f>VLOOKUP(J381, '1_Rate_Changes'!$A$2:$C$100, 3, TRUE)</f>
        <v>0</v>
      </c>
    </row>
    <row r="382" spans="7:11">
      <c r="G382">
        <v>7</v>
      </c>
      <c r="H382">
        <v>29</v>
      </c>
      <c r="I382" s="2">
        <f>INT(DATE($B$3,1,1) + (7+0.5)*365/50)</f>
        <v>0</v>
      </c>
      <c r="J382" s="2">
        <f>I382 - INT(ROUND($B$4 * 30.4375, 0) * (29+0.5)/50)</f>
        <v>0</v>
      </c>
      <c r="K382" s="4">
        <f>VLOOKUP(J382, '1_Rate_Changes'!$A$2:$C$100, 3, TRUE)</f>
        <v>0</v>
      </c>
    </row>
    <row r="383" spans="7:11">
      <c r="G383">
        <v>7</v>
      </c>
      <c r="H383">
        <v>30</v>
      </c>
      <c r="I383" s="2">
        <f>INT(DATE($B$3,1,1) + (7+0.5)*365/50)</f>
        <v>0</v>
      </c>
      <c r="J383" s="2">
        <f>I383 - INT(ROUND($B$4 * 30.4375, 0) * (30+0.5)/50)</f>
        <v>0</v>
      </c>
      <c r="K383" s="4">
        <f>VLOOKUP(J383, '1_Rate_Changes'!$A$2:$C$100, 3, TRUE)</f>
        <v>0</v>
      </c>
    </row>
    <row r="384" spans="7:11">
      <c r="G384">
        <v>7</v>
      </c>
      <c r="H384">
        <v>31</v>
      </c>
      <c r="I384" s="2">
        <f>INT(DATE($B$3,1,1) + (7+0.5)*365/50)</f>
        <v>0</v>
      </c>
      <c r="J384" s="2">
        <f>I384 - INT(ROUND($B$4 * 30.4375, 0) * (31+0.5)/50)</f>
        <v>0</v>
      </c>
      <c r="K384" s="4">
        <f>VLOOKUP(J384, '1_Rate_Changes'!$A$2:$C$100, 3, TRUE)</f>
        <v>0</v>
      </c>
    </row>
    <row r="385" spans="7:11">
      <c r="G385">
        <v>7</v>
      </c>
      <c r="H385">
        <v>32</v>
      </c>
      <c r="I385" s="2">
        <f>INT(DATE($B$3,1,1) + (7+0.5)*365/50)</f>
        <v>0</v>
      </c>
      <c r="J385" s="2">
        <f>I385 - INT(ROUND($B$4 * 30.4375, 0) * (32+0.5)/50)</f>
        <v>0</v>
      </c>
      <c r="K385" s="4">
        <f>VLOOKUP(J385, '1_Rate_Changes'!$A$2:$C$100, 3, TRUE)</f>
        <v>0</v>
      </c>
    </row>
    <row r="386" spans="7:11">
      <c r="G386">
        <v>7</v>
      </c>
      <c r="H386">
        <v>33</v>
      </c>
      <c r="I386" s="2">
        <f>INT(DATE($B$3,1,1) + (7+0.5)*365/50)</f>
        <v>0</v>
      </c>
      <c r="J386" s="2">
        <f>I386 - INT(ROUND($B$4 * 30.4375, 0) * (33+0.5)/50)</f>
        <v>0</v>
      </c>
      <c r="K386" s="4">
        <f>VLOOKUP(J386, '1_Rate_Changes'!$A$2:$C$100, 3, TRUE)</f>
        <v>0</v>
      </c>
    </row>
    <row r="387" spans="7:11">
      <c r="G387">
        <v>7</v>
      </c>
      <c r="H387">
        <v>34</v>
      </c>
      <c r="I387" s="2">
        <f>INT(DATE($B$3,1,1) + (7+0.5)*365/50)</f>
        <v>0</v>
      </c>
      <c r="J387" s="2">
        <f>I387 - INT(ROUND($B$4 * 30.4375, 0) * (34+0.5)/50)</f>
        <v>0</v>
      </c>
      <c r="K387" s="4">
        <f>VLOOKUP(J387, '1_Rate_Changes'!$A$2:$C$100, 3, TRUE)</f>
        <v>0</v>
      </c>
    </row>
    <row r="388" spans="7:11">
      <c r="G388">
        <v>7</v>
      </c>
      <c r="H388">
        <v>35</v>
      </c>
      <c r="I388" s="2">
        <f>INT(DATE($B$3,1,1) + (7+0.5)*365/50)</f>
        <v>0</v>
      </c>
      <c r="J388" s="2">
        <f>I388 - INT(ROUND($B$4 * 30.4375, 0) * (35+0.5)/50)</f>
        <v>0</v>
      </c>
      <c r="K388" s="4">
        <f>VLOOKUP(J388, '1_Rate_Changes'!$A$2:$C$100, 3, TRUE)</f>
        <v>0</v>
      </c>
    </row>
    <row r="389" spans="7:11">
      <c r="G389">
        <v>7</v>
      </c>
      <c r="H389">
        <v>36</v>
      </c>
      <c r="I389" s="2">
        <f>INT(DATE($B$3,1,1) + (7+0.5)*365/50)</f>
        <v>0</v>
      </c>
      <c r="J389" s="2">
        <f>I389 - INT(ROUND($B$4 * 30.4375, 0) * (36+0.5)/50)</f>
        <v>0</v>
      </c>
      <c r="K389" s="4">
        <f>VLOOKUP(J389, '1_Rate_Changes'!$A$2:$C$100, 3, TRUE)</f>
        <v>0</v>
      </c>
    </row>
    <row r="390" spans="7:11">
      <c r="G390">
        <v>7</v>
      </c>
      <c r="H390">
        <v>37</v>
      </c>
      <c r="I390" s="2">
        <f>INT(DATE($B$3,1,1) + (7+0.5)*365/50)</f>
        <v>0</v>
      </c>
      <c r="J390" s="2">
        <f>I390 - INT(ROUND($B$4 * 30.4375, 0) * (37+0.5)/50)</f>
        <v>0</v>
      </c>
      <c r="K390" s="4">
        <f>VLOOKUP(J390, '1_Rate_Changes'!$A$2:$C$100, 3, TRUE)</f>
        <v>0</v>
      </c>
    </row>
    <row r="391" spans="7:11">
      <c r="G391">
        <v>7</v>
      </c>
      <c r="H391">
        <v>38</v>
      </c>
      <c r="I391" s="2">
        <f>INT(DATE($B$3,1,1) + (7+0.5)*365/50)</f>
        <v>0</v>
      </c>
      <c r="J391" s="2">
        <f>I391 - INT(ROUND($B$4 * 30.4375, 0) * (38+0.5)/50)</f>
        <v>0</v>
      </c>
      <c r="K391" s="4">
        <f>VLOOKUP(J391, '1_Rate_Changes'!$A$2:$C$100, 3, TRUE)</f>
        <v>0</v>
      </c>
    </row>
    <row r="392" spans="7:11">
      <c r="G392">
        <v>7</v>
      </c>
      <c r="H392">
        <v>39</v>
      </c>
      <c r="I392" s="2">
        <f>INT(DATE($B$3,1,1) + (7+0.5)*365/50)</f>
        <v>0</v>
      </c>
      <c r="J392" s="2">
        <f>I392 - INT(ROUND($B$4 * 30.4375, 0) * (39+0.5)/50)</f>
        <v>0</v>
      </c>
      <c r="K392" s="4">
        <f>VLOOKUP(J392, '1_Rate_Changes'!$A$2:$C$100, 3, TRUE)</f>
        <v>0</v>
      </c>
    </row>
    <row r="393" spans="7:11">
      <c r="G393">
        <v>7</v>
      </c>
      <c r="H393">
        <v>40</v>
      </c>
      <c r="I393" s="2">
        <f>INT(DATE($B$3,1,1) + (7+0.5)*365/50)</f>
        <v>0</v>
      </c>
      <c r="J393" s="2">
        <f>I393 - INT(ROUND($B$4 * 30.4375, 0) * (40+0.5)/50)</f>
        <v>0</v>
      </c>
      <c r="K393" s="4">
        <f>VLOOKUP(J393, '1_Rate_Changes'!$A$2:$C$100, 3, TRUE)</f>
        <v>0</v>
      </c>
    </row>
    <row r="394" spans="7:11">
      <c r="G394">
        <v>7</v>
      </c>
      <c r="H394">
        <v>41</v>
      </c>
      <c r="I394" s="2">
        <f>INT(DATE($B$3,1,1) + (7+0.5)*365/50)</f>
        <v>0</v>
      </c>
      <c r="J394" s="2">
        <f>I394 - INT(ROUND($B$4 * 30.4375, 0) * (41+0.5)/50)</f>
        <v>0</v>
      </c>
      <c r="K394" s="4">
        <f>VLOOKUP(J394, '1_Rate_Changes'!$A$2:$C$100, 3, TRUE)</f>
        <v>0</v>
      </c>
    </row>
    <row r="395" spans="7:11">
      <c r="G395">
        <v>7</v>
      </c>
      <c r="H395">
        <v>42</v>
      </c>
      <c r="I395" s="2">
        <f>INT(DATE($B$3,1,1) + (7+0.5)*365/50)</f>
        <v>0</v>
      </c>
      <c r="J395" s="2">
        <f>I395 - INT(ROUND($B$4 * 30.4375, 0) * (42+0.5)/50)</f>
        <v>0</v>
      </c>
      <c r="K395" s="4">
        <f>VLOOKUP(J395, '1_Rate_Changes'!$A$2:$C$100, 3, TRUE)</f>
        <v>0</v>
      </c>
    </row>
    <row r="396" spans="7:11">
      <c r="G396">
        <v>7</v>
      </c>
      <c r="H396">
        <v>43</v>
      </c>
      <c r="I396" s="2">
        <f>INT(DATE($B$3,1,1) + (7+0.5)*365/50)</f>
        <v>0</v>
      </c>
      <c r="J396" s="2">
        <f>I396 - INT(ROUND($B$4 * 30.4375, 0) * (43+0.5)/50)</f>
        <v>0</v>
      </c>
      <c r="K396" s="4">
        <f>VLOOKUP(J396, '1_Rate_Changes'!$A$2:$C$100, 3, TRUE)</f>
        <v>0</v>
      </c>
    </row>
    <row r="397" spans="7:11">
      <c r="G397">
        <v>7</v>
      </c>
      <c r="H397">
        <v>44</v>
      </c>
      <c r="I397" s="2">
        <f>INT(DATE($B$3,1,1) + (7+0.5)*365/50)</f>
        <v>0</v>
      </c>
      <c r="J397" s="2">
        <f>I397 - INT(ROUND($B$4 * 30.4375, 0) * (44+0.5)/50)</f>
        <v>0</v>
      </c>
      <c r="K397" s="4">
        <f>VLOOKUP(J397, '1_Rate_Changes'!$A$2:$C$100, 3, TRUE)</f>
        <v>0</v>
      </c>
    </row>
    <row r="398" spans="7:11">
      <c r="G398">
        <v>7</v>
      </c>
      <c r="H398">
        <v>45</v>
      </c>
      <c r="I398" s="2">
        <f>INT(DATE($B$3,1,1) + (7+0.5)*365/50)</f>
        <v>0</v>
      </c>
      <c r="J398" s="2">
        <f>I398 - INT(ROUND($B$4 * 30.4375, 0) * (45+0.5)/50)</f>
        <v>0</v>
      </c>
      <c r="K398" s="4">
        <f>VLOOKUP(J398, '1_Rate_Changes'!$A$2:$C$100, 3, TRUE)</f>
        <v>0</v>
      </c>
    </row>
    <row r="399" spans="7:11">
      <c r="G399">
        <v>7</v>
      </c>
      <c r="H399">
        <v>46</v>
      </c>
      <c r="I399" s="2">
        <f>INT(DATE($B$3,1,1) + (7+0.5)*365/50)</f>
        <v>0</v>
      </c>
      <c r="J399" s="2">
        <f>I399 - INT(ROUND($B$4 * 30.4375, 0) * (46+0.5)/50)</f>
        <v>0</v>
      </c>
      <c r="K399" s="4">
        <f>VLOOKUP(J399, '1_Rate_Changes'!$A$2:$C$100, 3, TRUE)</f>
        <v>0</v>
      </c>
    </row>
    <row r="400" spans="7:11">
      <c r="G400">
        <v>7</v>
      </c>
      <c r="H400">
        <v>47</v>
      </c>
      <c r="I400" s="2">
        <f>INT(DATE($B$3,1,1) + (7+0.5)*365/50)</f>
        <v>0</v>
      </c>
      <c r="J400" s="2">
        <f>I400 - INT(ROUND($B$4 * 30.4375, 0) * (47+0.5)/50)</f>
        <v>0</v>
      </c>
      <c r="K400" s="4">
        <f>VLOOKUP(J400, '1_Rate_Changes'!$A$2:$C$100, 3, TRUE)</f>
        <v>0</v>
      </c>
    </row>
    <row r="401" spans="7:11">
      <c r="G401">
        <v>7</v>
      </c>
      <c r="H401">
        <v>48</v>
      </c>
      <c r="I401" s="2">
        <f>INT(DATE($B$3,1,1) + (7+0.5)*365/50)</f>
        <v>0</v>
      </c>
      <c r="J401" s="2">
        <f>I401 - INT(ROUND($B$4 * 30.4375, 0) * (48+0.5)/50)</f>
        <v>0</v>
      </c>
      <c r="K401" s="4">
        <f>VLOOKUP(J401, '1_Rate_Changes'!$A$2:$C$100, 3, TRUE)</f>
        <v>0</v>
      </c>
    </row>
    <row r="402" spans="7:11">
      <c r="G402">
        <v>7</v>
      </c>
      <c r="H402">
        <v>49</v>
      </c>
      <c r="I402" s="2">
        <f>INT(DATE($B$3,1,1) + (7+0.5)*365/50)</f>
        <v>0</v>
      </c>
      <c r="J402" s="2">
        <f>I402 - INT(ROUND($B$4 * 30.4375, 0) * (49+0.5)/50)</f>
        <v>0</v>
      </c>
      <c r="K402" s="4">
        <f>VLOOKUP(J402, '1_Rate_Changes'!$A$2:$C$100, 3, TRUE)</f>
        <v>0</v>
      </c>
    </row>
    <row r="403" spans="7:11">
      <c r="G403">
        <v>8</v>
      </c>
      <c r="H403">
        <v>0</v>
      </c>
      <c r="I403" s="2">
        <f>INT(DATE($B$3,1,1) + (8+0.5)*365/50)</f>
        <v>0</v>
      </c>
      <c r="J403" s="2">
        <f>I403 - INT(ROUND($B$4 * 30.4375, 0) * (0+0.5)/50)</f>
        <v>0</v>
      </c>
      <c r="K403" s="4">
        <f>VLOOKUP(J403, '1_Rate_Changes'!$A$2:$C$100, 3, TRUE)</f>
        <v>0</v>
      </c>
    </row>
    <row r="404" spans="7:11">
      <c r="G404">
        <v>8</v>
      </c>
      <c r="H404">
        <v>1</v>
      </c>
      <c r="I404" s="2">
        <f>INT(DATE($B$3,1,1) + (8+0.5)*365/50)</f>
        <v>0</v>
      </c>
      <c r="J404" s="2">
        <f>I404 - INT(ROUND($B$4 * 30.4375, 0) * (1+0.5)/50)</f>
        <v>0</v>
      </c>
      <c r="K404" s="4">
        <f>VLOOKUP(J404, '1_Rate_Changes'!$A$2:$C$100, 3, TRUE)</f>
        <v>0</v>
      </c>
    </row>
    <row r="405" spans="7:11">
      <c r="G405">
        <v>8</v>
      </c>
      <c r="H405">
        <v>2</v>
      </c>
      <c r="I405" s="2">
        <f>INT(DATE($B$3,1,1) + (8+0.5)*365/50)</f>
        <v>0</v>
      </c>
      <c r="J405" s="2">
        <f>I405 - INT(ROUND($B$4 * 30.4375, 0) * (2+0.5)/50)</f>
        <v>0</v>
      </c>
      <c r="K405" s="4">
        <f>VLOOKUP(J405, '1_Rate_Changes'!$A$2:$C$100, 3, TRUE)</f>
        <v>0</v>
      </c>
    </row>
    <row r="406" spans="7:11">
      <c r="G406">
        <v>8</v>
      </c>
      <c r="H406">
        <v>3</v>
      </c>
      <c r="I406" s="2">
        <f>INT(DATE($B$3,1,1) + (8+0.5)*365/50)</f>
        <v>0</v>
      </c>
      <c r="J406" s="2">
        <f>I406 - INT(ROUND($B$4 * 30.4375, 0) * (3+0.5)/50)</f>
        <v>0</v>
      </c>
      <c r="K406" s="4">
        <f>VLOOKUP(J406, '1_Rate_Changes'!$A$2:$C$100, 3, TRUE)</f>
        <v>0</v>
      </c>
    </row>
    <row r="407" spans="7:11">
      <c r="G407">
        <v>8</v>
      </c>
      <c r="H407">
        <v>4</v>
      </c>
      <c r="I407" s="2">
        <f>INT(DATE($B$3,1,1) + (8+0.5)*365/50)</f>
        <v>0</v>
      </c>
      <c r="J407" s="2">
        <f>I407 - INT(ROUND($B$4 * 30.4375, 0) * (4+0.5)/50)</f>
        <v>0</v>
      </c>
      <c r="K407" s="4">
        <f>VLOOKUP(J407, '1_Rate_Changes'!$A$2:$C$100, 3, TRUE)</f>
        <v>0</v>
      </c>
    </row>
    <row r="408" spans="7:11">
      <c r="G408">
        <v>8</v>
      </c>
      <c r="H408">
        <v>5</v>
      </c>
      <c r="I408" s="2">
        <f>INT(DATE($B$3,1,1) + (8+0.5)*365/50)</f>
        <v>0</v>
      </c>
      <c r="J408" s="2">
        <f>I408 - INT(ROUND($B$4 * 30.4375, 0) * (5+0.5)/50)</f>
        <v>0</v>
      </c>
      <c r="K408" s="4">
        <f>VLOOKUP(J408, '1_Rate_Changes'!$A$2:$C$100, 3, TRUE)</f>
        <v>0</v>
      </c>
    </row>
    <row r="409" spans="7:11">
      <c r="G409">
        <v>8</v>
      </c>
      <c r="H409">
        <v>6</v>
      </c>
      <c r="I409" s="2">
        <f>INT(DATE($B$3,1,1) + (8+0.5)*365/50)</f>
        <v>0</v>
      </c>
      <c r="J409" s="2">
        <f>I409 - INT(ROUND($B$4 * 30.4375, 0) * (6+0.5)/50)</f>
        <v>0</v>
      </c>
      <c r="K409" s="4">
        <f>VLOOKUP(J409, '1_Rate_Changes'!$A$2:$C$100, 3, TRUE)</f>
        <v>0</v>
      </c>
    </row>
    <row r="410" spans="7:11">
      <c r="G410">
        <v>8</v>
      </c>
      <c r="H410">
        <v>7</v>
      </c>
      <c r="I410" s="2">
        <f>INT(DATE($B$3,1,1) + (8+0.5)*365/50)</f>
        <v>0</v>
      </c>
      <c r="J410" s="2">
        <f>I410 - INT(ROUND($B$4 * 30.4375, 0) * (7+0.5)/50)</f>
        <v>0</v>
      </c>
      <c r="K410" s="4">
        <f>VLOOKUP(J410, '1_Rate_Changes'!$A$2:$C$100, 3, TRUE)</f>
        <v>0</v>
      </c>
    </row>
    <row r="411" spans="7:11">
      <c r="G411">
        <v>8</v>
      </c>
      <c r="H411">
        <v>8</v>
      </c>
      <c r="I411" s="2">
        <f>INT(DATE($B$3,1,1) + (8+0.5)*365/50)</f>
        <v>0</v>
      </c>
      <c r="J411" s="2">
        <f>I411 - INT(ROUND($B$4 * 30.4375, 0) * (8+0.5)/50)</f>
        <v>0</v>
      </c>
      <c r="K411" s="4">
        <f>VLOOKUP(J411, '1_Rate_Changes'!$A$2:$C$100, 3, TRUE)</f>
        <v>0</v>
      </c>
    </row>
    <row r="412" spans="7:11">
      <c r="G412">
        <v>8</v>
      </c>
      <c r="H412">
        <v>9</v>
      </c>
      <c r="I412" s="2">
        <f>INT(DATE($B$3,1,1) + (8+0.5)*365/50)</f>
        <v>0</v>
      </c>
      <c r="J412" s="2">
        <f>I412 - INT(ROUND($B$4 * 30.4375, 0) * (9+0.5)/50)</f>
        <v>0</v>
      </c>
      <c r="K412" s="4">
        <f>VLOOKUP(J412, '1_Rate_Changes'!$A$2:$C$100, 3, TRUE)</f>
        <v>0</v>
      </c>
    </row>
    <row r="413" spans="7:11">
      <c r="G413">
        <v>8</v>
      </c>
      <c r="H413">
        <v>10</v>
      </c>
      <c r="I413" s="2">
        <f>INT(DATE($B$3,1,1) + (8+0.5)*365/50)</f>
        <v>0</v>
      </c>
      <c r="J413" s="2">
        <f>I413 - INT(ROUND($B$4 * 30.4375, 0) * (10+0.5)/50)</f>
        <v>0</v>
      </c>
      <c r="K413" s="4">
        <f>VLOOKUP(J413, '1_Rate_Changes'!$A$2:$C$100, 3, TRUE)</f>
        <v>0</v>
      </c>
    </row>
    <row r="414" spans="7:11">
      <c r="G414">
        <v>8</v>
      </c>
      <c r="H414">
        <v>11</v>
      </c>
      <c r="I414" s="2">
        <f>INT(DATE($B$3,1,1) + (8+0.5)*365/50)</f>
        <v>0</v>
      </c>
      <c r="J414" s="2">
        <f>I414 - INT(ROUND($B$4 * 30.4375, 0) * (11+0.5)/50)</f>
        <v>0</v>
      </c>
      <c r="K414" s="4">
        <f>VLOOKUP(J414, '1_Rate_Changes'!$A$2:$C$100, 3, TRUE)</f>
        <v>0</v>
      </c>
    </row>
    <row r="415" spans="7:11">
      <c r="G415">
        <v>8</v>
      </c>
      <c r="H415">
        <v>12</v>
      </c>
      <c r="I415" s="2">
        <f>INT(DATE($B$3,1,1) + (8+0.5)*365/50)</f>
        <v>0</v>
      </c>
      <c r="J415" s="2">
        <f>I415 - INT(ROUND($B$4 * 30.4375, 0) * (12+0.5)/50)</f>
        <v>0</v>
      </c>
      <c r="K415" s="4">
        <f>VLOOKUP(J415, '1_Rate_Changes'!$A$2:$C$100, 3, TRUE)</f>
        <v>0</v>
      </c>
    </row>
    <row r="416" spans="7:11">
      <c r="G416">
        <v>8</v>
      </c>
      <c r="H416">
        <v>13</v>
      </c>
      <c r="I416" s="2">
        <f>INT(DATE($B$3,1,1) + (8+0.5)*365/50)</f>
        <v>0</v>
      </c>
      <c r="J416" s="2">
        <f>I416 - INT(ROUND($B$4 * 30.4375, 0) * (13+0.5)/50)</f>
        <v>0</v>
      </c>
      <c r="K416" s="4">
        <f>VLOOKUP(J416, '1_Rate_Changes'!$A$2:$C$100, 3, TRUE)</f>
        <v>0</v>
      </c>
    </row>
    <row r="417" spans="7:11">
      <c r="G417">
        <v>8</v>
      </c>
      <c r="H417">
        <v>14</v>
      </c>
      <c r="I417" s="2">
        <f>INT(DATE($B$3,1,1) + (8+0.5)*365/50)</f>
        <v>0</v>
      </c>
      <c r="J417" s="2">
        <f>I417 - INT(ROUND($B$4 * 30.4375, 0) * (14+0.5)/50)</f>
        <v>0</v>
      </c>
      <c r="K417" s="4">
        <f>VLOOKUP(J417, '1_Rate_Changes'!$A$2:$C$100, 3, TRUE)</f>
        <v>0</v>
      </c>
    </row>
    <row r="418" spans="7:11">
      <c r="G418">
        <v>8</v>
      </c>
      <c r="H418">
        <v>15</v>
      </c>
      <c r="I418" s="2">
        <f>INT(DATE($B$3,1,1) + (8+0.5)*365/50)</f>
        <v>0</v>
      </c>
      <c r="J418" s="2">
        <f>I418 - INT(ROUND($B$4 * 30.4375, 0) * (15+0.5)/50)</f>
        <v>0</v>
      </c>
      <c r="K418" s="4">
        <f>VLOOKUP(J418, '1_Rate_Changes'!$A$2:$C$100, 3, TRUE)</f>
        <v>0</v>
      </c>
    </row>
    <row r="419" spans="7:11">
      <c r="G419">
        <v>8</v>
      </c>
      <c r="H419">
        <v>16</v>
      </c>
      <c r="I419" s="2">
        <f>INT(DATE($B$3,1,1) + (8+0.5)*365/50)</f>
        <v>0</v>
      </c>
      <c r="J419" s="2">
        <f>I419 - INT(ROUND($B$4 * 30.4375, 0) * (16+0.5)/50)</f>
        <v>0</v>
      </c>
      <c r="K419" s="4">
        <f>VLOOKUP(J419, '1_Rate_Changes'!$A$2:$C$100, 3, TRUE)</f>
        <v>0</v>
      </c>
    </row>
    <row r="420" spans="7:11">
      <c r="G420">
        <v>8</v>
      </c>
      <c r="H420">
        <v>17</v>
      </c>
      <c r="I420" s="2">
        <f>INT(DATE($B$3,1,1) + (8+0.5)*365/50)</f>
        <v>0</v>
      </c>
      <c r="J420" s="2">
        <f>I420 - INT(ROUND($B$4 * 30.4375, 0) * (17+0.5)/50)</f>
        <v>0</v>
      </c>
      <c r="K420" s="4">
        <f>VLOOKUP(J420, '1_Rate_Changes'!$A$2:$C$100, 3, TRUE)</f>
        <v>0</v>
      </c>
    </row>
    <row r="421" spans="7:11">
      <c r="G421">
        <v>8</v>
      </c>
      <c r="H421">
        <v>18</v>
      </c>
      <c r="I421" s="2">
        <f>INT(DATE($B$3,1,1) + (8+0.5)*365/50)</f>
        <v>0</v>
      </c>
      <c r="J421" s="2">
        <f>I421 - INT(ROUND($B$4 * 30.4375, 0) * (18+0.5)/50)</f>
        <v>0</v>
      </c>
      <c r="K421" s="4">
        <f>VLOOKUP(J421, '1_Rate_Changes'!$A$2:$C$100, 3, TRUE)</f>
        <v>0</v>
      </c>
    </row>
    <row r="422" spans="7:11">
      <c r="G422">
        <v>8</v>
      </c>
      <c r="H422">
        <v>19</v>
      </c>
      <c r="I422" s="2">
        <f>INT(DATE($B$3,1,1) + (8+0.5)*365/50)</f>
        <v>0</v>
      </c>
      <c r="J422" s="2">
        <f>I422 - INT(ROUND($B$4 * 30.4375, 0) * (19+0.5)/50)</f>
        <v>0</v>
      </c>
      <c r="K422" s="4">
        <f>VLOOKUP(J422, '1_Rate_Changes'!$A$2:$C$100, 3, TRUE)</f>
        <v>0</v>
      </c>
    </row>
    <row r="423" spans="7:11">
      <c r="G423">
        <v>8</v>
      </c>
      <c r="H423">
        <v>20</v>
      </c>
      <c r="I423" s="2">
        <f>INT(DATE($B$3,1,1) + (8+0.5)*365/50)</f>
        <v>0</v>
      </c>
      <c r="J423" s="2">
        <f>I423 - INT(ROUND($B$4 * 30.4375, 0) * (20+0.5)/50)</f>
        <v>0</v>
      </c>
      <c r="K423" s="4">
        <f>VLOOKUP(J423, '1_Rate_Changes'!$A$2:$C$100, 3, TRUE)</f>
        <v>0</v>
      </c>
    </row>
    <row r="424" spans="7:11">
      <c r="G424">
        <v>8</v>
      </c>
      <c r="H424">
        <v>21</v>
      </c>
      <c r="I424" s="2">
        <f>INT(DATE($B$3,1,1) + (8+0.5)*365/50)</f>
        <v>0</v>
      </c>
      <c r="J424" s="2">
        <f>I424 - INT(ROUND($B$4 * 30.4375, 0) * (21+0.5)/50)</f>
        <v>0</v>
      </c>
      <c r="K424" s="4">
        <f>VLOOKUP(J424, '1_Rate_Changes'!$A$2:$C$100, 3, TRUE)</f>
        <v>0</v>
      </c>
    </row>
    <row r="425" spans="7:11">
      <c r="G425">
        <v>8</v>
      </c>
      <c r="H425">
        <v>22</v>
      </c>
      <c r="I425" s="2">
        <f>INT(DATE($B$3,1,1) + (8+0.5)*365/50)</f>
        <v>0</v>
      </c>
      <c r="J425" s="2">
        <f>I425 - INT(ROUND($B$4 * 30.4375, 0) * (22+0.5)/50)</f>
        <v>0</v>
      </c>
      <c r="K425" s="4">
        <f>VLOOKUP(J425, '1_Rate_Changes'!$A$2:$C$100, 3, TRUE)</f>
        <v>0</v>
      </c>
    </row>
    <row r="426" spans="7:11">
      <c r="G426">
        <v>8</v>
      </c>
      <c r="H426">
        <v>23</v>
      </c>
      <c r="I426" s="2">
        <f>INT(DATE($B$3,1,1) + (8+0.5)*365/50)</f>
        <v>0</v>
      </c>
      <c r="J426" s="2">
        <f>I426 - INT(ROUND($B$4 * 30.4375, 0) * (23+0.5)/50)</f>
        <v>0</v>
      </c>
      <c r="K426" s="4">
        <f>VLOOKUP(J426, '1_Rate_Changes'!$A$2:$C$100, 3, TRUE)</f>
        <v>0</v>
      </c>
    </row>
    <row r="427" spans="7:11">
      <c r="G427">
        <v>8</v>
      </c>
      <c r="H427">
        <v>24</v>
      </c>
      <c r="I427" s="2">
        <f>INT(DATE($B$3,1,1) + (8+0.5)*365/50)</f>
        <v>0</v>
      </c>
      <c r="J427" s="2">
        <f>I427 - INT(ROUND($B$4 * 30.4375, 0) * (24+0.5)/50)</f>
        <v>0</v>
      </c>
      <c r="K427" s="4">
        <f>VLOOKUP(J427, '1_Rate_Changes'!$A$2:$C$100, 3, TRUE)</f>
        <v>0</v>
      </c>
    </row>
    <row r="428" spans="7:11">
      <c r="G428">
        <v>8</v>
      </c>
      <c r="H428">
        <v>25</v>
      </c>
      <c r="I428" s="2">
        <f>INT(DATE($B$3,1,1) + (8+0.5)*365/50)</f>
        <v>0</v>
      </c>
      <c r="J428" s="2">
        <f>I428 - INT(ROUND($B$4 * 30.4375, 0) * (25+0.5)/50)</f>
        <v>0</v>
      </c>
      <c r="K428" s="4">
        <f>VLOOKUP(J428, '1_Rate_Changes'!$A$2:$C$100, 3, TRUE)</f>
        <v>0</v>
      </c>
    </row>
    <row r="429" spans="7:11">
      <c r="G429">
        <v>8</v>
      </c>
      <c r="H429">
        <v>26</v>
      </c>
      <c r="I429" s="2">
        <f>INT(DATE($B$3,1,1) + (8+0.5)*365/50)</f>
        <v>0</v>
      </c>
      <c r="J429" s="2">
        <f>I429 - INT(ROUND($B$4 * 30.4375, 0) * (26+0.5)/50)</f>
        <v>0</v>
      </c>
      <c r="K429" s="4">
        <f>VLOOKUP(J429, '1_Rate_Changes'!$A$2:$C$100, 3, TRUE)</f>
        <v>0</v>
      </c>
    </row>
    <row r="430" spans="7:11">
      <c r="G430">
        <v>8</v>
      </c>
      <c r="H430">
        <v>27</v>
      </c>
      <c r="I430" s="2">
        <f>INT(DATE($B$3,1,1) + (8+0.5)*365/50)</f>
        <v>0</v>
      </c>
      <c r="J430" s="2">
        <f>I430 - INT(ROUND($B$4 * 30.4375, 0) * (27+0.5)/50)</f>
        <v>0</v>
      </c>
      <c r="K430" s="4">
        <f>VLOOKUP(J430, '1_Rate_Changes'!$A$2:$C$100, 3, TRUE)</f>
        <v>0</v>
      </c>
    </row>
    <row r="431" spans="7:11">
      <c r="G431">
        <v>8</v>
      </c>
      <c r="H431">
        <v>28</v>
      </c>
      <c r="I431" s="2">
        <f>INT(DATE($B$3,1,1) + (8+0.5)*365/50)</f>
        <v>0</v>
      </c>
      <c r="J431" s="2">
        <f>I431 - INT(ROUND($B$4 * 30.4375, 0) * (28+0.5)/50)</f>
        <v>0</v>
      </c>
      <c r="K431" s="4">
        <f>VLOOKUP(J431, '1_Rate_Changes'!$A$2:$C$100, 3, TRUE)</f>
        <v>0</v>
      </c>
    </row>
    <row r="432" spans="7:11">
      <c r="G432">
        <v>8</v>
      </c>
      <c r="H432">
        <v>29</v>
      </c>
      <c r="I432" s="2">
        <f>INT(DATE($B$3,1,1) + (8+0.5)*365/50)</f>
        <v>0</v>
      </c>
      <c r="J432" s="2">
        <f>I432 - INT(ROUND($B$4 * 30.4375, 0) * (29+0.5)/50)</f>
        <v>0</v>
      </c>
      <c r="K432" s="4">
        <f>VLOOKUP(J432, '1_Rate_Changes'!$A$2:$C$100, 3, TRUE)</f>
        <v>0</v>
      </c>
    </row>
    <row r="433" spans="7:11">
      <c r="G433">
        <v>8</v>
      </c>
      <c r="H433">
        <v>30</v>
      </c>
      <c r="I433" s="2">
        <f>INT(DATE($B$3,1,1) + (8+0.5)*365/50)</f>
        <v>0</v>
      </c>
      <c r="J433" s="2">
        <f>I433 - INT(ROUND($B$4 * 30.4375, 0) * (30+0.5)/50)</f>
        <v>0</v>
      </c>
      <c r="K433" s="4">
        <f>VLOOKUP(J433, '1_Rate_Changes'!$A$2:$C$100, 3, TRUE)</f>
        <v>0</v>
      </c>
    </row>
    <row r="434" spans="7:11">
      <c r="G434">
        <v>8</v>
      </c>
      <c r="H434">
        <v>31</v>
      </c>
      <c r="I434" s="2">
        <f>INT(DATE($B$3,1,1) + (8+0.5)*365/50)</f>
        <v>0</v>
      </c>
      <c r="J434" s="2">
        <f>I434 - INT(ROUND($B$4 * 30.4375, 0) * (31+0.5)/50)</f>
        <v>0</v>
      </c>
      <c r="K434" s="4">
        <f>VLOOKUP(J434, '1_Rate_Changes'!$A$2:$C$100, 3, TRUE)</f>
        <v>0</v>
      </c>
    </row>
    <row r="435" spans="7:11">
      <c r="G435">
        <v>8</v>
      </c>
      <c r="H435">
        <v>32</v>
      </c>
      <c r="I435" s="2">
        <f>INT(DATE($B$3,1,1) + (8+0.5)*365/50)</f>
        <v>0</v>
      </c>
      <c r="J435" s="2">
        <f>I435 - INT(ROUND($B$4 * 30.4375, 0) * (32+0.5)/50)</f>
        <v>0</v>
      </c>
      <c r="K435" s="4">
        <f>VLOOKUP(J435, '1_Rate_Changes'!$A$2:$C$100, 3, TRUE)</f>
        <v>0</v>
      </c>
    </row>
    <row r="436" spans="7:11">
      <c r="G436">
        <v>8</v>
      </c>
      <c r="H436">
        <v>33</v>
      </c>
      <c r="I436" s="2">
        <f>INT(DATE($B$3,1,1) + (8+0.5)*365/50)</f>
        <v>0</v>
      </c>
      <c r="J436" s="2">
        <f>I436 - INT(ROUND($B$4 * 30.4375, 0) * (33+0.5)/50)</f>
        <v>0</v>
      </c>
      <c r="K436" s="4">
        <f>VLOOKUP(J436, '1_Rate_Changes'!$A$2:$C$100, 3, TRUE)</f>
        <v>0</v>
      </c>
    </row>
    <row r="437" spans="7:11">
      <c r="G437">
        <v>8</v>
      </c>
      <c r="H437">
        <v>34</v>
      </c>
      <c r="I437" s="2">
        <f>INT(DATE($B$3,1,1) + (8+0.5)*365/50)</f>
        <v>0</v>
      </c>
      <c r="J437" s="2">
        <f>I437 - INT(ROUND($B$4 * 30.4375, 0) * (34+0.5)/50)</f>
        <v>0</v>
      </c>
      <c r="K437" s="4">
        <f>VLOOKUP(J437, '1_Rate_Changes'!$A$2:$C$100, 3, TRUE)</f>
        <v>0</v>
      </c>
    </row>
    <row r="438" spans="7:11">
      <c r="G438">
        <v>8</v>
      </c>
      <c r="H438">
        <v>35</v>
      </c>
      <c r="I438" s="2">
        <f>INT(DATE($B$3,1,1) + (8+0.5)*365/50)</f>
        <v>0</v>
      </c>
      <c r="J438" s="2">
        <f>I438 - INT(ROUND($B$4 * 30.4375, 0) * (35+0.5)/50)</f>
        <v>0</v>
      </c>
      <c r="K438" s="4">
        <f>VLOOKUP(J438, '1_Rate_Changes'!$A$2:$C$100, 3, TRUE)</f>
        <v>0</v>
      </c>
    </row>
    <row r="439" spans="7:11">
      <c r="G439">
        <v>8</v>
      </c>
      <c r="H439">
        <v>36</v>
      </c>
      <c r="I439" s="2">
        <f>INT(DATE($B$3,1,1) + (8+0.5)*365/50)</f>
        <v>0</v>
      </c>
      <c r="J439" s="2">
        <f>I439 - INT(ROUND($B$4 * 30.4375, 0) * (36+0.5)/50)</f>
        <v>0</v>
      </c>
      <c r="K439" s="4">
        <f>VLOOKUP(J439, '1_Rate_Changes'!$A$2:$C$100, 3, TRUE)</f>
        <v>0</v>
      </c>
    </row>
    <row r="440" spans="7:11">
      <c r="G440">
        <v>8</v>
      </c>
      <c r="H440">
        <v>37</v>
      </c>
      <c r="I440" s="2">
        <f>INT(DATE($B$3,1,1) + (8+0.5)*365/50)</f>
        <v>0</v>
      </c>
      <c r="J440" s="2">
        <f>I440 - INT(ROUND($B$4 * 30.4375, 0) * (37+0.5)/50)</f>
        <v>0</v>
      </c>
      <c r="K440" s="4">
        <f>VLOOKUP(J440, '1_Rate_Changes'!$A$2:$C$100, 3, TRUE)</f>
        <v>0</v>
      </c>
    </row>
    <row r="441" spans="7:11">
      <c r="G441">
        <v>8</v>
      </c>
      <c r="H441">
        <v>38</v>
      </c>
      <c r="I441" s="2">
        <f>INT(DATE($B$3,1,1) + (8+0.5)*365/50)</f>
        <v>0</v>
      </c>
      <c r="J441" s="2">
        <f>I441 - INT(ROUND($B$4 * 30.4375, 0) * (38+0.5)/50)</f>
        <v>0</v>
      </c>
      <c r="K441" s="4">
        <f>VLOOKUP(J441, '1_Rate_Changes'!$A$2:$C$100, 3, TRUE)</f>
        <v>0</v>
      </c>
    </row>
    <row r="442" spans="7:11">
      <c r="G442">
        <v>8</v>
      </c>
      <c r="H442">
        <v>39</v>
      </c>
      <c r="I442" s="2">
        <f>INT(DATE($B$3,1,1) + (8+0.5)*365/50)</f>
        <v>0</v>
      </c>
      <c r="J442" s="2">
        <f>I442 - INT(ROUND($B$4 * 30.4375, 0) * (39+0.5)/50)</f>
        <v>0</v>
      </c>
      <c r="K442" s="4">
        <f>VLOOKUP(J442, '1_Rate_Changes'!$A$2:$C$100, 3, TRUE)</f>
        <v>0</v>
      </c>
    </row>
    <row r="443" spans="7:11">
      <c r="G443">
        <v>8</v>
      </c>
      <c r="H443">
        <v>40</v>
      </c>
      <c r="I443" s="2">
        <f>INT(DATE($B$3,1,1) + (8+0.5)*365/50)</f>
        <v>0</v>
      </c>
      <c r="J443" s="2">
        <f>I443 - INT(ROUND($B$4 * 30.4375, 0) * (40+0.5)/50)</f>
        <v>0</v>
      </c>
      <c r="K443" s="4">
        <f>VLOOKUP(J443, '1_Rate_Changes'!$A$2:$C$100, 3, TRUE)</f>
        <v>0</v>
      </c>
    </row>
    <row r="444" spans="7:11">
      <c r="G444">
        <v>8</v>
      </c>
      <c r="H444">
        <v>41</v>
      </c>
      <c r="I444" s="2">
        <f>INT(DATE($B$3,1,1) + (8+0.5)*365/50)</f>
        <v>0</v>
      </c>
      <c r="J444" s="2">
        <f>I444 - INT(ROUND($B$4 * 30.4375, 0) * (41+0.5)/50)</f>
        <v>0</v>
      </c>
      <c r="K444" s="4">
        <f>VLOOKUP(J444, '1_Rate_Changes'!$A$2:$C$100, 3, TRUE)</f>
        <v>0</v>
      </c>
    </row>
    <row r="445" spans="7:11">
      <c r="G445">
        <v>8</v>
      </c>
      <c r="H445">
        <v>42</v>
      </c>
      <c r="I445" s="2">
        <f>INT(DATE($B$3,1,1) + (8+0.5)*365/50)</f>
        <v>0</v>
      </c>
      <c r="J445" s="2">
        <f>I445 - INT(ROUND($B$4 * 30.4375, 0) * (42+0.5)/50)</f>
        <v>0</v>
      </c>
      <c r="K445" s="4">
        <f>VLOOKUP(J445, '1_Rate_Changes'!$A$2:$C$100, 3, TRUE)</f>
        <v>0</v>
      </c>
    </row>
    <row r="446" spans="7:11">
      <c r="G446">
        <v>8</v>
      </c>
      <c r="H446">
        <v>43</v>
      </c>
      <c r="I446" s="2">
        <f>INT(DATE($B$3,1,1) + (8+0.5)*365/50)</f>
        <v>0</v>
      </c>
      <c r="J446" s="2">
        <f>I446 - INT(ROUND($B$4 * 30.4375, 0) * (43+0.5)/50)</f>
        <v>0</v>
      </c>
      <c r="K446" s="4">
        <f>VLOOKUP(J446, '1_Rate_Changes'!$A$2:$C$100, 3, TRUE)</f>
        <v>0</v>
      </c>
    </row>
    <row r="447" spans="7:11">
      <c r="G447">
        <v>8</v>
      </c>
      <c r="H447">
        <v>44</v>
      </c>
      <c r="I447" s="2">
        <f>INT(DATE($B$3,1,1) + (8+0.5)*365/50)</f>
        <v>0</v>
      </c>
      <c r="J447" s="2">
        <f>I447 - INT(ROUND($B$4 * 30.4375, 0) * (44+0.5)/50)</f>
        <v>0</v>
      </c>
      <c r="K447" s="4">
        <f>VLOOKUP(J447, '1_Rate_Changes'!$A$2:$C$100, 3, TRUE)</f>
        <v>0</v>
      </c>
    </row>
    <row r="448" spans="7:11">
      <c r="G448">
        <v>8</v>
      </c>
      <c r="H448">
        <v>45</v>
      </c>
      <c r="I448" s="2">
        <f>INT(DATE($B$3,1,1) + (8+0.5)*365/50)</f>
        <v>0</v>
      </c>
      <c r="J448" s="2">
        <f>I448 - INT(ROUND($B$4 * 30.4375, 0) * (45+0.5)/50)</f>
        <v>0</v>
      </c>
      <c r="K448" s="4">
        <f>VLOOKUP(J448, '1_Rate_Changes'!$A$2:$C$100, 3, TRUE)</f>
        <v>0</v>
      </c>
    </row>
    <row r="449" spans="7:11">
      <c r="G449">
        <v>8</v>
      </c>
      <c r="H449">
        <v>46</v>
      </c>
      <c r="I449" s="2">
        <f>INT(DATE($B$3,1,1) + (8+0.5)*365/50)</f>
        <v>0</v>
      </c>
      <c r="J449" s="2">
        <f>I449 - INT(ROUND($B$4 * 30.4375, 0) * (46+0.5)/50)</f>
        <v>0</v>
      </c>
      <c r="K449" s="4">
        <f>VLOOKUP(J449, '1_Rate_Changes'!$A$2:$C$100, 3, TRUE)</f>
        <v>0</v>
      </c>
    </row>
    <row r="450" spans="7:11">
      <c r="G450">
        <v>8</v>
      </c>
      <c r="H450">
        <v>47</v>
      </c>
      <c r="I450" s="2">
        <f>INT(DATE($B$3,1,1) + (8+0.5)*365/50)</f>
        <v>0</v>
      </c>
      <c r="J450" s="2">
        <f>I450 - INT(ROUND($B$4 * 30.4375, 0) * (47+0.5)/50)</f>
        <v>0</v>
      </c>
      <c r="K450" s="4">
        <f>VLOOKUP(J450, '1_Rate_Changes'!$A$2:$C$100, 3, TRUE)</f>
        <v>0</v>
      </c>
    </row>
    <row r="451" spans="7:11">
      <c r="G451">
        <v>8</v>
      </c>
      <c r="H451">
        <v>48</v>
      </c>
      <c r="I451" s="2">
        <f>INT(DATE($B$3,1,1) + (8+0.5)*365/50)</f>
        <v>0</v>
      </c>
      <c r="J451" s="2">
        <f>I451 - INT(ROUND($B$4 * 30.4375, 0) * (48+0.5)/50)</f>
        <v>0</v>
      </c>
      <c r="K451" s="4">
        <f>VLOOKUP(J451, '1_Rate_Changes'!$A$2:$C$100, 3, TRUE)</f>
        <v>0</v>
      </c>
    </row>
    <row r="452" spans="7:11">
      <c r="G452">
        <v>8</v>
      </c>
      <c r="H452">
        <v>49</v>
      </c>
      <c r="I452" s="2">
        <f>INT(DATE($B$3,1,1) + (8+0.5)*365/50)</f>
        <v>0</v>
      </c>
      <c r="J452" s="2">
        <f>I452 - INT(ROUND($B$4 * 30.4375, 0) * (49+0.5)/50)</f>
        <v>0</v>
      </c>
      <c r="K452" s="4">
        <f>VLOOKUP(J452, '1_Rate_Changes'!$A$2:$C$100, 3, TRUE)</f>
        <v>0</v>
      </c>
    </row>
    <row r="453" spans="7:11">
      <c r="G453">
        <v>9</v>
      </c>
      <c r="H453">
        <v>0</v>
      </c>
      <c r="I453" s="2">
        <f>INT(DATE($B$3,1,1) + (9+0.5)*365/50)</f>
        <v>0</v>
      </c>
      <c r="J453" s="2">
        <f>I453 - INT(ROUND($B$4 * 30.4375, 0) * (0+0.5)/50)</f>
        <v>0</v>
      </c>
      <c r="K453" s="4">
        <f>VLOOKUP(J453, '1_Rate_Changes'!$A$2:$C$100, 3, TRUE)</f>
        <v>0</v>
      </c>
    </row>
    <row r="454" spans="7:11">
      <c r="G454">
        <v>9</v>
      </c>
      <c r="H454">
        <v>1</v>
      </c>
      <c r="I454" s="2">
        <f>INT(DATE($B$3,1,1) + (9+0.5)*365/50)</f>
        <v>0</v>
      </c>
      <c r="J454" s="2">
        <f>I454 - INT(ROUND($B$4 * 30.4375, 0) * (1+0.5)/50)</f>
        <v>0</v>
      </c>
      <c r="K454" s="4">
        <f>VLOOKUP(J454, '1_Rate_Changes'!$A$2:$C$100, 3, TRUE)</f>
        <v>0</v>
      </c>
    </row>
    <row r="455" spans="7:11">
      <c r="G455">
        <v>9</v>
      </c>
      <c r="H455">
        <v>2</v>
      </c>
      <c r="I455" s="2">
        <f>INT(DATE($B$3,1,1) + (9+0.5)*365/50)</f>
        <v>0</v>
      </c>
      <c r="J455" s="2">
        <f>I455 - INT(ROUND($B$4 * 30.4375, 0) * (2+0.5)/50)</f>
        <v>0</v>
      </c>
      <c r="K455" s="4">
        <f>VLOOKUP(J455, '1_Rate_Changes'!$A$2:$C$100, 3, TRUE)</f>
        <v>0</v>
      </c>
    </row>
    <row r="456" spans="7:11">
      <c r="G456">
        <v>9</v>
      </c>
      <c r="H456">
        <v>3</v>
      </c>
      <c r="I456" s="2">
        <f>INT(DATE($B$3,1,1) + (9+0.5)*365/50)</f>
        <v>0</v>
      </c>
      <c r="J456" s="2">
        <f>I456 - INT(ROUND($B$4 * 30.4375, 0) * (3+0.5)/50)</f>
        <v>0</v>
      </c>
      <c r="K456" s="4">
        <f>VLOOKUP(J456, '1_Rate_Changes'!$A$2:$C$100, 3, TRUE)</f>
        <v>0</v>
      </c>
    </row>
    <row r="457" spans="7:11">
      <c r="G457">
        <v>9</v>
      </c>
      <c r="H457">
        <v>4</v>
      </c>
      <c r="I457" s="2">
        <f>INT(DATE($B$3,1,1) + (9+0.5)*365/50)</f>
        <v>0</v>
      </c>
      <c r="J457" s="2">
        <f>I457 - INT(ROUND($B$4 * 30.4375, 0) * (4+0.5)/50)</f>
        <v>0</v>
      </c>
      <c r="K457" s="4">
        <f>VLOOKUP(J457, '1_Rate_Changes'!$A$2:$C$100, 3, TRUE)</f>
        <v>0</v>
      </c>
    </row>
    <row r="458" spans="7:11">
      <c r="G458">
        <v>9</v>
      </c>
      <c r="H458">
        <v>5</v>
      </c>
      <c r="I458" s="2">
        <f>INT(DATE($B$3,1,1) + (9+0.5)*365/50)</f>
        <v>0</v>
      </c>
      <c r="J458" s="2">
        <f>I458 - INT(ROUND($B$4 * 30.4375, 0) * (5+0.5)/50)</f>
        <v>0</v>
      </c>
      <c r="K458" s="4">
        <f>VLOOKUP(J458, '1_Rate_Changes'!$A$2:$C$100, 3, TRUE)</f>
        <v>0</v>
      </c>
    </row>
    <row r="459" spans="7:11">
      <c r="G459">
        <v>9</v>
      </c>
      <c r="H459">
        <v>6</v>
      </c>
      <c r="I459" s="2">
        <f>INT(DATE($B$3,1,1) + (9+0.5)*365/50)</f>
        <v>0</v>
      </c>
      <c r="J459" s="2">
        <f>I459 - INT(ROUND($B$4 * 30.4375, 0) * (6+0.5)/50)</f>
        <v>0</v>
      </c>
      <c r="K459" s="4">
        <f>VLOOKUP(J459, '1_Rate_Changes'!$A$2:$C$100, 3, TRUE)</f>
        <v>0</v>
      </c>
    </row>
    <row r="460" spans="7:11">
      <c r="G460">
        <v>9</v>
      </c>
      <c r="H460">
        <v>7</v>
      </c>
      <c r="I460" s="2">
        <f>INT(DATE($B$3,1,1) + (9+0.5)*365/50)</f>
        <v>0</v>
      </c>
      <c r="J460" s="2">
        <f>I460 - INT(ROUND($B$4 * 30.4375, 0) * (7+0.5)/50)</f>
        <v>0</v>
      </c>
      <c r="K460" s="4">
        <f>VLOOKUP(J460, '1_Rate_Changes'!$A$2:$C$100, 3, TRUE)</f>
        <v>0</v>
      </c>
    </row>
    <row r="461" spans="7:11">
      <c r="G461">
        <v>9</v>
      </c>
      <c r="H461">
        <v>8</v>
      </c>
      <c r="I461" s="2">
        <f>INT(DATE($B$3,1,1) + (9+0.5)*365/50)</f>
        <v>0</v>
      </c>
      <c r="J461" s="2">
        <f>I461 - INT(ROUND($B$4 * 30.4375, 0) * (8+0.5)/50)</f>
        <v>0</v>
      </c>
      <c r="K461" s="4">
        <f>VLOOKUP(J461, '1_Rate_Changes'!$A$2:$C$100, 3, TRUE)</f>
        <v>0</v>
      </c>
    </row>
    <row r="462" spans="7:11">
      <c r="G462">
        <v>9</v>
      </c>
      <c r="H462">
        <v>9</v>
      </c>
      <c r="I462" s="2">
        <f>INT(DATE($B$3,1,1) + (9+0.5)*365/50)</f>
        <v>0</v>
      </c>
      <c r="J462" s="2">
        <f>I462 - INT(ROUND($B$4 * 30.4375, 0) * (9+0.5)/50)</f>
        <v>0</v>
      </c>
      <c r="K462" s="4">
        <f>VLOOKUP(J462, '1_Rate_Changes'!$A$2:$C$100, 3, TRUE)</f>
        <v>0</v>
      </c>
    </row>
    <row r="463" spans="7:11">
      <c r="G463">
        <v>9</v>
      </c>
      <c r="H463">
        <v>10</v>
      </c>
      <c r="I463" s="2">
        <f>INT(DATE($B$3,1,1) + (9+0.5)*365/50)</f>
        <v>0</v>
      </c>
      <c r="J463" s="2">
        <f>I463 - INT(ROUND($B$4 * 30.4375, 0) * (10+0.5)/50)</f>
        <v>0</v>
      </c>
      <c r="K463" s="4">
        <f>VLOOKUP(J463, '1_Rate_Changes'!$A$2:$C$100, 3, TRUE)</f>
        <v>0</v>
      </c>
    </row>
    <row r="464" spans="7:11">
      <c r="G464">
        <v>9</v>
      </c>
      <c r="H464">
        <v>11</v>
      </c>
      <c r="I464" s="2">
        <f>INT(DATE($B$3,1,1) + (9+0.5)*365/50)</f>
        <v>0</v>
      </c>
      <c r="J464" s="2">
        <f>I464 - INT(ROUND($B$4 * 30.4375, 0) * (11+0.5)/50)</f>
        <v>0</v>
      </c>
      <c r="K464" s="4">
        <f>VLOOKUP(J464, '1_Rate_Changes'!$A$2:$C$100, 3, TRUE)</f>
        <v>0</v>
      </c>
    </row>
    <row r="465" spans="7:11">
      <c r="G465">
        <v>9</v>
      </c>
      <c r="H465">
        <v>12</v>
      </c>
      <c r="I465" s="2">
        <f>INT(DATE($B$3,1,1) + (9+0.5)*365/50)</f>
        <v>0</v>
      </c>
      <c r="J465" s="2">
        <f>I465 - INT(ROUND($B$4 * 30.4375, 0) * (12+0.5)/50)</f>
        <v>0</v>
      </c>
      <c r="K465" s="4">
        <f>VLOOKUP(J465, '1_Rate_Changes'!$A$2:$C$100, 3, TRUE)</f>
        <v>0</v>
      </c>
    </row>
    <row r="466" spans="7:11">
      <c r="G466">
        <v>9</v>
      </c>
      <c r="H466">
        <v>13</v>
      </c>
      <c r="I466" s="2">
        <f>INT(DATE($B$3,1,1) + (9+0.5)*365/50)</f>
        <v>0</v>
      </c>
      <c r="J466" s="2">
        <f>I466 - INT(ROUND($B$4 * 30.4375, 0) * (13+0.5)/50)</f>
        <v>0</v>
      </c>
      <c r="K466" s="4">
        <f>VLOOKUP(J466, '1_Rate_Changes'!$A$2:$C$100, 3, TRUE)</f>
        <v>0</v>
      </c>
    </row>
    <row r="467" spans="7:11">
      <c r="G467">
        <v>9</v>
      </c>
      <c r="H467">
        <v>14</v>
      </c>
      <c r="I467" s="2">
        <f>INT(DATE($B$3,1,1) + (9+0.5)*365/50)</f>
        <v>0</v>
      </c>
      <c r="J467" s="2">
        <f>I467 - INT(ROUND($B$4 * 30.4375, 0) * (14+0.5)/50)</f>
        <v>0</v>
      </c>
      <c r="K467" s="4">
        <f>VLOOKUP(J467, '1_Rate_Changes'!$A$2:$C$100, 3, TRUE)</f>
        <v>0</v>
      </c>
    </row>
    <row r="468" spans="7:11">
      <c r="G468">
        <v>9</v>
      </c>
      <c r="H468">
        <v>15</v>
      </c>
      <c r="I468" s="2">
        <f>INT(DATE($B$3,1,1) + (9+0.5)*365/50)</f>
        <v>0</v>
      </c>
      <c r="J468" s="2">
        <f>I468 - INT(ROUND($B$4 * 30.4375, 0) * (15+0.5)/50)</f>
        <v>0</v>
      </c>
      <c r="K468" s="4">
        <f>VLOOKUP(J468, '1_Rate_Changes'!$A$2:$C$100, 3, TRUE)</f>
        <v>0</v>
      </c>
    </row>
    <row r="469" spans="7:11">
      <c r="G469">
        <v>9</v>
      </c>
      <c r="H469">
        <v>16</v>
      </c>
      <c r="I469" s="2">
        <f>INT(DATE($B$3,1,1) + (9+0.5)*365/50)</f>
        <v>0</v>
      </c>
      <c r="J469" s="2">
        <f>I469 - INT(ROUND($B$4 * 30.4375, 0) * (16+0.5)/50)</f>
        <v>0</v>
      </c>
      <c r="K469" s="4">
        <f>VLOOKUP(J469, '1_Rate_Changes'!$A$2:$C$100, 3, TRUE)</f>
        <v>0</v>
      </c>
    </row>
    <row r="470" spans="7:11">
      <c r="G470">
        <v>9</v>
      </c>
      <c r="H470">
        <v>17</v>
      </c>
      <c r="I470" s="2">
        <f>INT(DATE($B$3,1,1) + (9+0.5)*365/50)</f>
        <v>0</v>
      </c>
      <c r="J470" s="2">
        <f>I470 - INT(ROUND($B$4 * 30.4375, 0) * (17+0.5)/50)</f>
        <v>0</v>
      </c>
      <c r="K470" s="4">
        <f>VLOOKUP(J470, '1_Rate_Changes'!$A$2:$C$100, 3, TRUE)</f>
        <v>0</v>
      </c>
    </row>
    <row r="471" spans="7:11">
      <c r="G471">
        <v>9</v>
      </c>
      <c r="H471">
        <v>18</v>
      </c>
      <c r="I471" s="2">
        <f>INT(DATE($B$3,1,1) + (9+0.5)*365/50)</f>
        <v>0</v>
      </c>
      <c r="J471" s="2">
        <f>I471 - INT(ROUND($B$4 * 30.4375, 0) * (18+0.5)/50)</f>
        <v>0</v>
      </c>
      <c r="K471" s="4">
        <f>VLOOKUP(J471, '1_Rate_Changes'!$A$2:$C$100, 3, TRUE)</f>
        <v>0</v>
      </c>
    </row>
    <row r="472" spans="7:11">
      <c r="G472">
        <v>9</v>
      </c>
      <c r="H472">
        <v>19</v>
      </c>
      <c r="I472" s="2">
        <f>INT(DATE($B$3,1,1) + (9+0.5)*365/50)</f>
        <v>0</v>
      </c>
      <c r="J472" s="2">
        <f>I472 - INT(ROUND($B$4 * 30.4375, 0) * (19+0.5)/50)</f>
        <v>0</v>
      </c>
      <c r="K472" s="4">
        <f>VLOOKUP(J472, '1_Rate_Changes'!$A$2:$C$100, 3, TRUE)</f>
        <v>0</v>
      </c>
    </row>
    <row r="473" spans="7:11">
      <c r="G473">
        <v>9</v>
      </c>
      <c r="H473">
        <v>20</v>
      </c>
      <c r="I473" s="2">
        <f>INT(DATE($B$3,1,1) + (9+0.5)*365/50)</f>
        <v>0</v>
      </c>
      <c r="J473" s="2">
        <f>I473 - INT(ROUND($B$4 * 30.4375, 0) * (20+0.5)/50)</f>
        <v>0</v>
      </c>
      <c r="K473" s="4">
        <f>VLOOKUP(J473, '1_Rate_Changes'!$A$2:$C$100, 3, TRUE)</f>
        <v>0</v>
      </c>
    </row>
    <row r="474" spans="7:11">
      <c r="G474">
        <v>9</v>
      </c>
      <c r="H474">
        <v>21</v>
      </c>
      <c r="I474" s="2">
        <f>INT(DATE($B$3,1,1) + (9+0.5)*365/50)</f>
        <v>0</v>
      </c>
      <c r="J474" s="2">
        <f>I474 - INT(ROUND($B$4 * 30.4375, 0) * (21+0.5)/50)</f>
        <v>0</v>
      </c>
      <c r="K474" s="4">
        <f>VLOOKUP(J474, '1_Rate_Changes'!$A$2:$C$100, 3, TRUE)</f>
        <v>0</v>
      </c>
    </row>
    <row r="475" spans="7:11">
      <c r="G475">
        <v>9</v>
      </c>
      <c r="H475">
        <v>22</v>
      </c>
      <c r="I475" s="2">
        <f>INT(DATE($B$3,1,1) + (9+0.5)*365/50)</f>
        <v>0</v>
      </c>
      <c r="J475" s="2">
        <f>I475 - INT(ROUND($B$4 * 30.4375, 0) * (22+0.5)/50)</f>
        <v>0</v>
      </c>
      <c r="K475" s="4">
        <f>VLOOKUP(J475, '1_Rate_Changes'!$A$2:$C$100, 3, TRUE)</f>
        <v>0</v>
      </c>
    </row>
    <row r="476" spans="7:11">
      <c r="G476">
        <v>9</v>
      </c>
      <c r="H476">
        <v>23</v>
      </c>
      <c r="I476" s="2">
        <f>INT(DATE($B$3,1,1) + (9+0.5)*365/50)</f>
        <v>0</v>
      </c>
      <c r="J476" s="2">
        <f>I476 - INT(ROUND($B$4 * 30.4375, 0) * (23+0.5)/50)</f>
        <v>0</v>
      </c>
      <c r="K476" s="4">
        <f>VLOOKUP(J476, '1_Rate_Changes'!$A$2:$C$100, 3, TRUE)</f>
        <v>0</v>
      </c>
    </row>
    <row r="477" spans="7:11">
      <c r="G477">
        <v>9</v>
      </c>
      <c r="H477">
        <v>24</v>
      </c>
      <c r="I477" s="2">
        <f>INT(DATE($B$3,1,1) + (9+0.5)*365/50)</f>
        <v>0</v>
      </c>
      <c r="J477" s="2">
        <f>I477 - INT(ROUND($B$4 * 30.4375, 0) * (24+0.5)/50)</f>
        <v>0</v>
      </c>
      <c r="K477" s="4">
        <f>VLOOKUP(J477, '1_Rate_Changes'!$A$2:$C$100, 3, TRUE)</f>
        <v>0</v>
      </c>
    </row>
    <row r="478" spans="7:11">
      <c r="G478">
        <v>9</v>
      </c>
      <c r="H478">
        <v>25</v>
      </c>
      <c r="I478" s="2">
        <f>INT(DATE($B$3,1,1) + (9+0.5)*365/50)</f>
        <v>0</v>
      </c>
      <c r="J478" s="2">
        <f>I478 - INT(ROUND($B$4 * 30.4375, 0) * (25+0.5)/50)</f>
        <v>0</v>
      </c>
      <c r="K478" s="4">
        <f>VLOOKUP(J478, '1_Rate_Changes'!$A$2:$C$100, 3, TRUE)</f>
        <v>0</v>
      </c>
    </row>
    <row r="479" spans="7:11">
      <c r="G479">
        <v>9</v>
      </c>
      <c r="H479">
        <v>26</v>
      </c>
      <c r="I479" s="2">
        <f>INT(DATE($B$3,1,1) + (9+0.5)*365/50)</f>
        <v>0</v>
      </c>
      <c r="J479" s="2">
        <f>I479 - INT(ROUND($B$4 * 30.4375, 0) * (26+0.5)/50)</f>
        <v>0</v>
      </c>
      <c r="K479" s="4">
        <f>VLOOKUP(J479, '1_Rate_Changes'!$A$2:$C$100, 3, TRUE)</f>
        <v>0</v>
      </c>
    </row>
    <row r="480" spans="7:11">
      <c r="G480">
        <v>9</v>
      </c>
      <c r="H480">
        <v>27</v>
      </c>
      <c r="I480" s="2">
        <f>INT(DATE($B$3,1,1) + (9+0.5)*365/50)</f>
        <v>0</v>
      </c>
      <c r="J480" s="2">
        <f>I480 - INT(ROUND($B$4 * 30.4375, 0) * (27+0.5)/50)</f>
        <v>0</v>
      </c>
      <c r="K480" s="4">
        <f>VLOOKUP(J480, '1_Rate_Changes'!$A$2:$C$100, 3, TRUE)</f>
        <v>0</v>
      </c>
    </row>
    <row r="481" spans="7:11">
      <c r="G481">
        <v>9</v>
      </c>
      <c r="H481">
        <v>28</v>
      </c>
      <c r="I481" s="2">
        <f>INT(DATE($B$3,1,1) + (9+0.5)*365/50)</f>
        <v>0</v>
      </c>
      <c r="J481" s="2">
        <f>I481 - INT(ROUND($B$4 * 30.4375, 0) * (28+0.5)/50)</f>
        <v>0</v>
      </c>
      <c r="K481" s="4">
        <f>VLOOKUP(J481, '1_Rate_Changes'!$A$2:$C$100, 3, TRUE)</f>
        <v>0</v>
      </c>
    </row>
    <row r="482" spans="7:11">
      <c r="G482">
        <v>9</v>
      </c>
      <c r="H482">
        <v>29</v>
      </c>
      <c r="I482" s="2">
        <f>INT(DATE($B$3,1,1) + (9+0.5)*365/50)</f>
        <v>0</v>
      </c>
      <c r="J482" s="2">
        <f>I482 - INT(ROUND($B$4 * 30.4375, 0) * (29+0.5)/50)</f>
        <v>0</v>
      </c>
      <c r="K482" s="4">
        <f>VLOOKUP(J482, '1_Rate_Changes'!$A$2:$C$100, 3, TRUE)</f>
        <v>0</v>
      </c>
    </row>
    <row r="483" spans="7:11">
      <c r="G483">
        <v>9</v>
      </c>
      <c r="H483">
        <v>30</v>
      </c>
      <c r="I483" s="2">
        <f>INT(DATE($B$3,1,1) + (9+0.5)*365/50)</f>
        <v>0</v>
      </c>
      <c r="J483" s="2">
        <f>I483 - INT(ROUND($B$4 * 30.4375, 0) * (30+0.5)/50)</f>
        <v>0</v>
      </c>
      <c r="K483" s="4">
        <f>VLOOKUP(J483, '1_Rate_Changes'!$A$2:$C$100, 3, TRUE)</f>
        <v>0</v>
      </c>
    </row>
    <row r="484" spans="7:11">
      <c r="G484">
        <v>9</v>
      </c>
      <c r="H484">
        <v>31</v>
      </c>
      <c r="I484" s="2">
        <f>INT(DATE($B$3,1,1) + (9+0.5)*365/50)</f>
        <v>0</v>
      </c>
      <c r="J484" s="2">
        <f>I484 - INT(ROUND($B$4 * 30.4375, 0) * (31+0.5)/50)</f>
        <v>0</v>
      </c>
      <c r="K484" s="4">
        <f>VLOOKUP(J484, '1_Rate_Changes'!$A$2:$C$100, 3, TRUE)</f>
        <v>0</v>
      </c>
    </row>
    <row r="485" spans="7:11">
      <c r="G485">
        <v>9</v>
      </c>
      <c r="H485">
        <v>32</v>
      </c>
      <c r="I485" s="2">
        <f>INT(DATE($B$3,1,1) + (9+0.5)*365/50)</f>
        <v>0</v>
      </c>
      <c r="J485" s="2">
        <f>I485 - INT(ROUND($B$4 * 30.4375, 0) * (32+0.5)/50)</f>
        <v>0</v>
      </c>
      <c r="K485" s="4">
        <f>VLOOKUP(J485, '1_Rate_Changes'!$A$2:$C$100, 3, TRUE)</f>
        <v>0</v>
      </c>
    </row>
    <row r="486" spans="7:11">
      <c r="G486">
        <v>9</v>
      </c>
      <c r="H486">
        <v>33</v>
      </c>
      <c r="I486" s="2">
        <f>INT(DATE($B$3,1,1) + (9+0.5)*365/50)</f>
        <v>0</v>
      </c>
      <c r="J486" s="2">
        <f>I486 - INT(ROUND($B$4 * 30.4375, 0) * (33+0.5)/50)</f>
        <v>0</v>
      </c>
      <c r="K486" s="4">
        <f>VLOOKUP(J486, '1_Rate_Changes'!$A$2:$C$100, 3, TRUE)</f>
        <v>0</v>
      </c>
    </row>
    <row r="487" spans="7:11">
      <c r="G487">
        <v>9</v>
      </c>
      <c r="H487">
        <v>34</v>
      </c>
      <c r="I487" s="2">
        <f>INT(DATE($B$3,1,1) + (9+0.5)*365/50)</f>
        <v>0</v>
      </c>
      <c r="J487" s="2">
        <f>I487 - INT(ROUND($B$4 * 30.4375, 0) * (34+0.5)/50)</f>
        <v>0</v>
      </c>
      <c r="K487" s="4">
        <f>VLOOKUP(J487, '1_Rate_Changes'!$A$2:$C$100, 3, TRUE)</f>
        <v>0</v>
      </c>
    </row>
    <row r="488" spans="7:11">
      <c r="G488">
        <v>9</v>
      </c>
      <c r="H488">
        <v>35</v>
      </c>
      <c r="I488" s="2">
        <f>INT(DATE($B$3,1,1) + (9+0.5)*365/50)</f>
        <v>0</v>
      </c>
      <c r="J488" s="2">
        <f>I488 - INT(ROUND($B$4 * 30.4375, 0) * (35+0.5)/50)</f>
        <v>0</v>
      </c>
      <c r="K488" s="4">
        <f>VLOOKUP(J488, '1_Rate_Changes'!$A$2:$C$100, 3, TRUE)</f>
        <v>0</v>
      </c>
    </row>
    <row r="489" spans="7:11">
      <c r="G489">
        <v>9</v>
      </c>
      <c r="H489">
        <v>36</v>
      </c>
      <c r="I489" s="2">
        <f>INT(DATE($B$3,1,1) + (9+0.5)*365/50)</f>
        <v>0</v>
      </c>
      <c r="J489" s="2">
        <f>I489 - INT(ROUND($B$4 * 30.4375, 0) * (36+0.5)/50)</f>
        <v>0</v>
      </c>
      <c r="K489" s="4">
        <f>VLOOKUP(J489, '1_Rate_Changes'!$A$2:$C$100, 3, TRUE)</f>
        <v>0</v>
      </c>
    </row>
    <row r="490" spans="7:11">
      <c r="G490">
        <v>9</v>
      </c>
      <c r="H490">
        <v>37</v>
      </c>
      <c r="I490" s="2">
        <f>INT(DATE($B$3,1,1) + (9+0.5)*365/50)</f>
        <v>0</v>
      </c>
      <c r="J490" s="2">
        <f>I490 - INT(ROUND($B$4 * 30.4375, 0) * (37+0.5)/50)</f>
        <v>0</v>
      </c>
      <c r="K490" s="4">
        <f>VLOOKUP(J490, '1_Rate_Changes'!$A$2:$C$100, 3, TRUE)</f>
        <v>0</v>
      </c>
    </row>
    <row r="491" spans="7:11">
      <c r="G491">
        <v>9</v>
      </c>
      <c r="H491">
        <v>38</v>
      </c>
      <c r="I491" s="2">
        <f>INT(DATE($B$3,1,1) + (9+0.5)*365/50)</f>
        <v>0</v>
      </c>
      <c r="J491" s="2">
        <f>I491 - INT(ROUND($B$4 * 30.4375, 0) * (38+0.5)/50)</f>
        <v>0</v>
      </c>
      <c r="K491" s="4">
        <f>VLOOKUP(J491, '1_Rate_Changes'!$A$2:$C$100, 3, TRUE)</f>
        <v>0</v>
      </c>
    </row>
    <row r="492" spans="7:11">
      <c r="G492">
        <v>9</v>
      </c>
      <c r="H492">
        <v>39</v>
      </c>
      <c r="I492" s="2">
        <f>INT(DATE($B$3,1,1) + (9+0.5)*365/50)</f>
        <v>0</v>
      </c>
      <c r="J492" s="2">
        <f>I492 - INT(ROUND($B$4 * 30.4375, 0) * (39+0.5)/50)</f>
        <v>0</v>
      </c>
      <c r="K492" s="4">
        <f>VLOOKUP(J492, '1_Rate_Changes'!$A$2:$C$100, 3, TRUE)</f>
        <v>0</v>
      </c>
    </row>
    <row r="493" spans="7:11">
      <c r="G493">
        <v>9</v>
      </c>
      <c r="H493">
        <v>40</v>
      </c>
      <c r="I493" s="2">
        <f>INT(DATE($B$3,1,1) + (9+0.5)*365/50)</f>
        <v>0</v>
      </c>
      <c r="J493" s="2">
        <f>I493 - INT(ROUND($B$4 * 30.4375, 0) * (40+0.5)/50)</f>
        <v>0</v>
      </c>
      <c r="K493" s="4">
        <f>VLOOKUP(J493, '1_Rate_Changes'!$A$2:$C$100, 3, TRUE)</f>
        <v>0</v>
      </c>
    </row>
    <row r="494" spans="7:11">
      <c r="G494">
        <v>9</v>
      </c>
      <c r="H494">
        <v>41</v>
      </c>
      <c r="I494" s="2">
        <f>INT(DATE($B$3,1,1) + (9+0.5)*365/50)</f>
        <v>0</v>
      </c>
      <c r="J494" s="2">
        <f>I494 - INT(ROUND($B$4 * 30.4375, 0) * (41+0.5)/50)</f>
        <v>0</v>
      </c>
      <c r="K494" s="4">
        <f>VLOOKUP(J494, '1_Rate_Changes'!$A$2:$C$100, 3, TRUE)</f>
        <v>0</v>
      </c>
    </row>
    <row r="495" spans="7:11">
      <c r="G495">
        <v>9</v>
      </c>
      <c r="H495">
        <v>42</v>
      </c>
      <c r="I495" s="2">
        <f>INT(DATE($B$3,1,1) + (9+0.5)*365/50)</f>
        <v>0</v>
      </c>
      <c r="J495" s="2">
        <f>I495 - INT(ROUND($B$4 * 30.4375, 0) * (42+0.5)/50)</f>
        <v>0</v>
      </c>
      <c r="K495" s="4">
        <f>VLOOKUP(J495, '1_Rate_Changes'!$A$2:$C$100, 3, TRUE)</f>
        <v>0</v>
      </c>
    </row>
    <row r="496" spans="7:11">
      <c r="G496">
        <v>9</v>
      </c>
      <c r="H496">
        <v>43</v>
      </c>
      <c r="I496" s="2">
        <f>INT(DATE($B$3,1,1) + (9+0.5)*365/50)</f>
        <v>0</v>
      </c>
      <c r="J496" s="2">
        <f>I496 - INT(ROUND($B$4 * 30.4375, 0) * (43+0.5)/50)</f>
        <v>0</v>
      </c>
      <c r="K496" s="4">
        <f>VLOOKUP(J496, '1_Rate_Changes'!$A$2:$C$100, 3, TRUE)</f>
        <v>0</v>
      </c>
    </row>
    <row r="497" spans="7:11">
      <c r="G497">
        <v>9</v>
      </c>
      <c r="H497">
        <v>44</v>
      </c>
      <c r="I497" s="2">
        <f>INT(DATE($B$3,1,1) + (9+0.5)*365/50)</f>
        <v>0</v>
      </c>
      <c r="J497" s="2">
        <f>I497 - INT(ROUND($B$4 * 30.4375, 0) * (44+0.5)/50)</f>
        <v>0</v>
      </c>
      <c r="K497" s="4">
        <f>VLOOKUP(J497, '1_Rate_Changes'!$A$2:$C$100, 3, TRUE)</f>
        <v>0</v>
      </c>
    </row>
    <row r="498" spans="7:11">
      <c r="G498">
        <v>9</v>
      </c>
      <c r="H498">
        <v>45</v>
      </c>
      <c r="I498" s="2">
        <f>INT(DATE($B$3,1,1) + (9+0.5)*365/50)</f>
        <v>0</v>
      </c>
      <c r="J498" s="2">
        <f>I498 - INT(ROUND($B$4 * 30.4375, 0) * (45+0.5)/50)</f>
        <v>0</v>
      </c>
      <c r="K498" s="4">
        <f>VLOOKUP(J498, '1_Rate_Changes'!$A$2:$C$100, 3, TRUE)</f>
        <v>0</v>
      </c>
    </row>
    <row r="499" spans="7:11">
      <c r="G499">
        <v>9</v>
      </c>
      <c r="H499">
        <v>46</v>
      </c>
      <c r="I499" s="2">
        <f>INT(DATE($B$3,1,1) + (9+0.5)*365/50)</f>
        <v>0</v>
      </c>
      <c r="J499" s="2">
        <f>I499 - INT(ROUND($B$4 * 30.4375, 0) * (46+0.5)/50)</f>
        <v>0</v>
      </c>
      <c r="K499" s="4">
        <f>VLOOKUP(J499, '1_Rate_Changes'!$A$2:$C$100, 3, TRUE)</f>
        <v>0</v>
      </c>
    </row>
    <row r="500" spans="7:11">
      <c r="G500">
        <v>9</v>
      </c>
      <c r="H500">
        <v>47</v>
      </c>
      <c r="I500" s="2">
        <f>INT(DATE($B$3,1,1) + (9+0.5)*365/50)</f>
        <v>0</v>
      </c>
      <c r="J500" s="2">
        <f>I500 - INT(ROUND($B$4 * 30.4375, 0) * (47+0.5)/50)</f>
        <v>0</v>
      </c>
      <c r="K500" s="4">
        <f>VLOOKUP(J500, '1_Rate_Changes'!$A$2:$C$100, 3, TRUE)</f>
        <v>0</v>
      </c>
    </row>
    <row r="501" spans="7:11">
      <c r="G501">
        <v>9</v>
      </c>
      <c r="H501">
        <v>48</v>
      </c>
      <c r="I501" s="2">
        <f>INT(DATE($B$3,1,1) + (9+0.5)*365/50)</f>
        <v>0</v>
      </c>
      <c r="J501" s="2">
        <f>I501 - INT(ROUND($B$4 * 30.4375, 0) * (48+0.5)/50)</f>
        <v>0</v>
      </c>
      <c r="K501" s="4">
        <f>VLOOKUP(J501, '1_Rate_Changes'!$A$2:$C$100, 3, TRUE)</f>
        <v>0</v>
      </c>
    </row>
    <row r="502" spans="7:11">
      <c r="G502">
        <v>9</v>
      </c>
      <c r="H502">
        <v>49</v>
      </c>
      <c r="I502" s="2">
        <f>INT(DATE($B$3,1,1) + (9+0.5)*365/50)</f>
        <v>0</v>
      </c>
      <c r="J502" s="2">
        <f>I502 - INT(ROUND($B$4 * 30.4375, 0) * (49+0.5)/50)</f>
        <v>0</v>
      </c>
      <c r="K502" s="4">
        <f>VLOOKUP(J502, '1_Rate_Changes'!$A$2:$C$100, 3, TRUE)</f>
        <v>0</v>
      </c>
    </row>
    <row r="503" spans="7:11">
      <c r="G503">
        <v>10</v>
      </c>
      <c r="H503">
        <v>0</v>
      </c>
      <c r="I503" s="2">
        <f>INT(DATE($B$3,1,1) + (10+0.5)*365/50)</f>
        <v>0</v>
      </c>
      <c r="J503" s="2">
        <f>I503 - INT(ROUND($B$4 * 30.4375, 0) * (0+0.5)/50)</f>
        <v>0</v>
      </c>
      <c r="K503" s="4">
        <f>VLOOKUP(J503, '1_Rate_Changes'!$A$2:$C$100, 3, TRUE)</f>
        <v>0</v>
      </c>
    </row>
    <row r="504" spans="7:11">
      <c r="G504">
        <v>10</v>
      </c>
      <c r="H504">
        <v>1</v>
      </c>
      <c r="I504" s="2">
        <f>INT(DATE($B$3,1,1) + (10+0.5)*365/50)</f>
        <v>0</v>
      </c>
      <c r="J504" s="2">
        <f>I504 - INT(ROUND($B$4 * 30.4375, 0) * (1+0.5)/50)</f>
        <v>0</v>
      </c>
      <c r="K504" s="4">
        <f>VLOOKUP(J504, '1_Rate_Changes'!$A$2:$C$100, 3, TRUE)</f>
        <v>0</v>
      </c>
    </row>
    <row r="505" spans="7:11">
      <c r="G505">
        <v>10</v>
      </c>
      <c r="H505">
        <v>2</v>
      </c>
      <c r="I505" s="2">
        <f>INT(DATE($B$3,1,1) + (10+0.5)*365/50)</f>
        <v>0</v>
      </c>
      <c r="J505" s="2">
        <f>I505 - INT(ROUND($B$4 * 30.4375, 0) * (2+0.5)/50)</f>
        <v>0</v>
      </c>
      <c r="K505" s="4">
        <f>VLOOKUP(J505, '1_Rate_Changes'!$A$2:$C$100, 3, TRUE)</f>
        <v>0</v>
      </c>
    </row>
    <row r="506" spans="7:11">
      <c r="G506">
        <v>10</v>
      </c>
      <c r="H506">
        <v>3</v>
      </c>
      <c r="I506" s="2">
        <f>INT(DATE($B$3,1,1) + (10+0.5)*365/50)</f>
        <v>0</v>
      </c>
      <c r="J506" s="2">
        <f>I506 - INT(ROUND($B$4 * 30.4375, 0) * (3+0.5)/50)</f>
        <v>0</v>
      </c>
      <c r="K506" s="4">
        <f>VLOOKUP(J506, '1_Rate_Changes'!$A$2:$C$100, 3, TRUE)</f>
        <v>0</v>
      </c>
    </row>
    <row r="507" spans="7:11">
      <c r="G507">
        <v>10</v>
      </c>
      <c r="H507">
        <v>4</v>
      </c>
      <c r="I507" s="2">
        <f>INT(DATE($B$3,1,1) + (10+0.5)*365/50)</f>
        <v>0</v>
      </c>
      <c r="J507" s="2">
        <f>I507 - INT(ROUND($B$4 * 30.4375, 0) * (4+0.5)/50)</f>
        <v>0</v>
      </c>
      <c r="K507" s="4">
        <f>VLOOKUP(J507, '1_Rate_Changes'!$A$2:$C$100, 3, TRUE)</f>
        <v>0</v>
      </c>
    </row>
    <row r="508" spans="7:11">
      <c r="G508">
        <v>10</v>
      </c>
      <c r="H508">
        <v>5</v>
      </c>
      <c r="I508" s="2">
        <f>INT(DATE($B$3,1,1) + (10+0.5)*365/50)</f>
        <v>0</v>
      </c>
      <c r="J508" s="2">
        <f>I508 - INT(ROUND($B$4 * 30.4375, 0) * (5+0.5)/50)</f>
        <v>0</v>
      </c>
      <c r="K508" s="4">
        <f>VLOOKUP(J508, '1_Rate_Changes'!$A$2:$C$100, 3, TRUE)</f>
        <v>0</v>
      </c>
    </row>
    <row r="509" spans="7:11">
      <c r="G509">
        <v>10</v>
      </c>
      <c r="H509">
        <v>6</v>
      </c>
      <c r="I509" s="2">
        <f>INT(DATE($B$3,1,1) + (10+0.5)*365/50)</f>
        <v>0</v>
      </c>
      <c r="J509" s="2">
        <f>I509 - INT(ROUND($B$4 * 30.4375, 0) * (6+0.5)/50)</f>
        <v>0</v>
      </c>
      <c r="K509" s="4">
        <f>VLOOKUP(J509, '1_Rate_Changes'!$A$2:$C$100, 3, TRUE)</f>
        <v>0</v>
      </c>
    </row>
    <row r="510" spans="7:11">
      <c r="G510">
        <v>10</v>
      </c>
      <c r="H510">
        <v>7</v>
      </c>
      <c r="I510" s="2">
        <f>INT(DATE($B$3,1,1) + (10+0.5)*365/50)</f>
        <v>0</v>
      </c>
      <c r="J510" s="2">
        <f>I510 - INT(ROUND($B$4 * 30.4375, 0) * (7+0.5)/50)</f>
        <v>0</v>
      </c>
      <c r="K510" s="4">
        <f>VLOOKUP(J510, '1_Rate_Changes'!$A$2:$C$100, 3, TRUE)</f>
        <v>0</v>
      </c>
    </row>
    <row r="511" spans="7:11">
      <c r="G511">
        <v>10</v>
      </c>
      <c r="H511">
        <v>8</v>
      </c>
      <c r="I511" s="2">
        <f>INT(DATE($B$3,1,1) + (10+0.5)*365/50)</f>
        <v>0</v>
      </c>
      <c r="J511" s="2">
        <f>I511 - INT(ROUND($B$4 * 30.4375, 0) * (8+0.5)/50)</f>
        <v>0</v>
      </c>
      <c r="K511" s="4">
        <f>VLOOKUP(J511, '1_Rate_Changes'!$A$2:$C$100, 3, TRUE)</f>
        <v>0</v>
      </c>
    </row>
    <row r="512" spans="7:11">
      <c r="G512">
        <v>10</v>
      </c>
      <c r="H512">
        <v>9</v>
      </c>
      <c r="I512" s="2">
        <f>INT(DATE($B$3,1,1) + (10+0.5)*365/50)</f>
        <v>0</v>
      </c>
      <c r="J512" s="2">
        <f>I512 - INT(ROUND($B$4 * 30.4375, 0) * (9+0.5)/50)</f>
        <v>0</v>
      </c>
      <c r="K512" s="4">
        <f>VLOOKUP(J512, '1_Rate_Changes'!$A$2:$C$100, 3, TRUE)</f>
        <v>0</v>
      </c>
    </row>
    <row r="513" spans="7:11">
      <c r="G513">
        <v>10</v>
      </c>
      <c r="H513">
        <v>10</v>
      </c>
      <c r="I513" s="2">
        <f>INT(DATE($B$3,1,1) + (10+0.5)*365/50)</f>
        <v>0</v>
      </c>
      <c r="J513" s="2">
        <f>I513 - INT(ROUND($B$4 * 30.4375, 0) * (10+0.5)/50)</f>
        <v>0</v>
      </c>
      <c r="K513" s="4">
        <f>VLOOKUP(J513, '1_Rate_Changes'!$A$2:$C$100, 3, TRUE)</f>
        <v>0</v>
      </c>
    </row>
    <row r="514" spans="7:11">
      <c r="G514">
        <v>10</v>
      </c>
      <c r="H514">
        <v>11</v>
      </c>
      <c r="I514" s="2">
        <f>INT(DATE($B$3,1,1) + (10+0.5)*365/50)</f>
        <v>0</v>
      </c>
      <c r="J514" s="2">
        <f>I514 - INT(ROUND($B$4 * 30.4375, 0) * (11+0.5)/50)</f>
        <v>0</v>
      </c>
      <c r="K514" s="4">
        <f>VLOOKUP(J514, '1_Rate_Changes'!$A$2:$C$100, 3, TRUE)</f>
        <v>0</v>
      </c>
    </row>
    <row r="515" spans="7:11">
      <c r="G515">
        <v>10</v>
      </c>
      <c r="H515">
        <v>12</v>
      </c>
      <c r="I515" s="2">
        <f>INT(DATE($B$3,1,1) + (10+0.5)*365/50)</f>
        <v>0</v>
      </c>
      <c r="J515" s="2">
        <f>I515 - INT(ROUND($B$4 * 30.4375, 0) * (12+0.5)/50)</f>
        <v>0</v>
      </c>
      <c r="K515" s="4">
        <f>VLOOKUP(J515, '1_Rate_Changes'!$A$2:$C$100, 3, TRUE)</f>
        <v>0</v>
      </c>
    </row>
    <row r="516" spans="7:11">
      <c r="G516">
        <v>10</v>
      </c>
      <c r="H516">
        <v>13</v>
      </c>
      <c r="I516" s="2">
        <f>INT(DATE($B$3,1,1) + (10+0.5)*365/50)</f>
        <v>0</v>
      </c>
      <c r="J516" s="2">
        <f>I516 - INT(ROUND($B$4 * 30.4375, 0) * (13+0.5)/50)</f>
        <v>0</v>
      </c>
      <c r="K516" s="4">
        <f>VLOOKUP(J516, '1_Rate_Changes'!$A$2:$C$100, 3, TRUE)</f>
        <v>0</v>
      </c>
    </row>
    <row r="517" spans="7:11">
      <c r="G517">
        <v>10</v>
      </c>
      <c r="H517">
        <v>14</v>
      </c>
      <c r="I517" s="2">
        <f>INT(DATE($B$3,1,1) + (10+0.5)*365/50)</f>
        <v>0</v>
      </c>
      <c r="J517" s="2">
        <f>I517 - INT(ROUND($B$4 * 30.4375, 0) * (14+0.5)/50)</f>
        <v>0</v>
      </c>
      <c r="K517" s="4">
        <f>VLOOKUP(J517, '1_Rate_Changes'!$A$2:$C$100, 3, TRUE)</f>
        <v>0</v>
      </c>
    </row>
    <row r="518" spans="7:11">
      <c r="G518">
        <v>10</v>
      </c>
      <c r="H518">
        <v>15</v>
      </c>
      <c r="I518" s="2">
        <f>INT(DATE($B$3,1,1) + (10+0.5)*365/50)</f>
        <v>0</v>
      </c>
      <c r="J518" s="2">
        <f>I518 - INT(ROUND($B$4 * 30.4375, 0) * (15+0.5)/50)</f>
        <v>0</v>
      </c>
      <c r="K518" s="4">
        <f>VLOOKUP(J518, '1_Rate_Changes'!$A$2:$C$100, 3, TRUE)</f>
        <v>0</v>
      </c>
    </row>
    <row r="519" spans="7:11">
      <c r="G519">
        <v>10</v>
      </c>
      <c r="H519">
        <v>16</v>
      </c>
      <c r="I519" s="2">
        <f>INT(DATE($B$3,1,1) + (10+0.5)*365/50)</f>
        <v>0</v>
      </c>
      <c r="J519" s="2">
        <f>I519 - INT(ROUND($B$4 * 30.4375, 0) * (16+0.5)/50)</f>
        <v>0</v>
      </c>
      <c r="K519" s="4">
        <f>VLOOKUP(J519, '1_Rate_Changes'!$A$2:$C$100, 3, TRUE)</f>
        <v>0</v>
      </c>
    </row>
    <row r="520" spans="7:11">
      <c r="G520">
        <v>10</v>
      </c>
      <c r="H520">
        <v>17</v>
      </c>
      <c r="I520" s="2">
        <f>INT(DATE($B$3,1,1) + (10+0.5)*365/50)</f>
        <v>0</v>
      </c>
      <c r="J520" s="2">
        <f>I520 - INT(ROUND($B$4 * 30.4375, 0) * (17+0.5)/50)</f>
        <v>0</v>
      </c>
      <c r="K520" s="4">
        <f>VLOOKUP(J520, '1_Rate_Changes'!$A$2:$C$100, 3, TRUE)</f>
        <v>0</v>
      </c>
    </row>
    <row r="521" spans="7:11">
      <c r="G521">
        <v>10</v>
      </c>
      <c r="H521">
        <v>18</v>
      </c>
      <c r="I521" s="2">
        <f>INT(DATE($B$3,1,1) + (10+0.5)*365/50)</f>
        <v>0</v>
      </c>
      <c r="J521" s="2">
        <f>I521 - INT(ROUND($B$4 * 30.4375, 0) * (18+0.5)/50)</f>
        <v>0</v>
      </c>
      <c r="K521" s="4">
        <f>VLOOKUP(J521, '1_Rate_Changes'!$A$2:$C$100, 3, TRUE)</f>
        <v>0</v>
      </c>
    </row>
    <row r="522" spans="7:11">
      <c r="G522">
        <v>10</v>
      </c>
      <c r="H522">
        <v>19</v>
      </c>
      <c r="I522" s="2">
        <f>INT(DATE($B$3,1,1) + (10+0.5)*365/50)</f>
        <v>0</v>
      </c>
      <c r="J522" s="2">
        <f>I522 - INT(ROUND($B$4 * 30.4375, 0) * (19+0.5)/50)</f>
        <v>0</v>
      </c>
      <c r="K522" s="4">
        <f>VLOOKUP(J522, '1_Rate_Changes'!$A$2:$C$100, 3, TRUE)</f>
        <v>0</v>
      </c>
    </row>
    <row r="523" spans="7:11">
      <c r="G523">
        <v>10</v>
      </c>
      <c r="H523">
        <v>20</v>
      </c>
      <c r="I523" s="2">
        <f>INT(DATE($B$3,1,1) + (10+0.5)*365/50)</f>
        <v>0</v>
      </c>
      <c r="J523" s="2">
        <f>I523 - INT(ROUND($B$4 * 30.4375, 0) * (20+0.5)/50)</f>
        <v>0</v>
      </c>
      <c r="K523" s="4">
        <f>VLOOKUP(J523, '1_Rate_Changes'!$A$2:$C$100, 3, TRUE)</f>
        <v>0</v>
      </c>
    </row>
    <row r="524" spans="7:11">
      <c r="G524">
        <v>10</v>
      </c>
      <c r="H524">
        <v>21</v>
      </c>
      <c r="I524" s="2">
        <f>INT(DATE($B$3,1,1) + (10+0.5)*365/50)</f>
        <v>0</v>
      </c>
      <c r="J524" s="2">
        <f>I524 - INT(ROUND($B$4 * 30.4375, 0) * (21+0.5)/50)</f>
        <v>0</v>
      </c>
      <c r="K524" s="4">
        <f>VLOOKUP(J524, '1_Rate_Changes'!$A$2:$C$100, 3, TRUE)</f>
        <v>0</v>
      </c>
    </row>
    <row r="525" spans="7:11">
      <c r="G525">
        <v>10</v>
      </c>
      <c r="H525">
        <v>22</v>
      </c>
      <c r="I525" s="2">
        <f>INT(DATE($B$3,1,1) + (10+0.5)*365/50)</f>
        <v>0</v>
      </c>
      <c r="J525" s="2">
        <f>I525 - INT(ROUND($B$4 * 30.4375, 0) * (22+0.5)/50)</f>
        <v>0</v>
      </c>
      <c r="K525" s="4">
        <f>VLOOKUP(J525, '1_Rate_Changes'!$A$2:$C$100, 3, TRUE)</f>
        <v>0</v>
      </c>
    </row>
    <row r="526" spans="7:11">
      <c r="G526">
        <v>10</v>
      </c>
      <c r="H526">
        <v>23</v>
      </c>
      <c r="I526" s="2">
        <f>INT(DATE($B$3,1,1) + (10+0.5)*365/50)</f>
        <v>0</v>
      </c>
      <c r="J526" s="2">
        <f>I526 - INT(ROUND($B$4 * 30.4375, 0) * (23+0.5)/50)</f>
        <v>0</v>
      </c>
      <c r="K526" s="4">
        <f>VLOOKUP(J526, '1_Rate_Changes'!$A$2:$C$100, 3, TRUE)</f>
        <v>0</v>
      </c>
    </row>
    <row r="527" spans="7:11">
      <c r="G527">
        <v>10</v>
      </c>
      <c r="H527">
        <v>24</v>
      </c>
      <c r="I527" s="2">
        <f>INT(DATE($B$3,1,1) + (10+0.5)*365/50)</f>
        <v>0</v>
      </c>
      <c r="J527" s="2">
        <f>I527 - INT(ROUND($B$4 * 30.4375, 0) * (24+0.5)/50)</f>
        <v>0</v>
      </c>
      <c r="K527" s="4">
        <f>VLOOKUP(J527, '1_Rate_Changes'!$A$2:$C$100, 3, TRUE)</f>
        <v>0</v>
      </c>
    </row>
    <row r="528" spans="7:11">
      <c r="G528">
        <v>10</v>
      </c>
      <c r="H528">
        <v>25</v>
      </c>
      <c r="I528" s="2">
        <f>INT(DATE($B$3,1,1) + (10+0.5)*365/50)</f>
        <v>0</v>
      </c>
      <c r="J528" s="2">
        <f>I528 - INT(ROUND($B$4 * 30.4375, 0) * (25+0.5)/50)</f>
        <v>0</v>
      </c>
      <c r="K528" s="4">
        <f>VLOOKUP(J528, '1_Rate_Changes'!$A$2:$C$100, 3, TRUE)</f>
        <v>0</v>
      </c>
    </row>
    <row r="529" spans="7:11">
      <c r="G529">
        <v>10</v>
      </c>
      <c r="H529">
        <v>26</v>
      </c>
      <c r="I529" s="2">
        <f>INT(DATE($B$3,1,1) + (10+0.5)*365/50)</f>
        <v>0</v>
      </c>
      <c r="J529" s="2">
        <f>I529 - INT(ROUND($B$4 * 30.4375, 0) * (26+0.5)/50)</f>
        <v>0</v>
      </c>
      <c r="K529" s="4">
        <f>VLOOKUP(J529, '1_Rate_Changes'!$A$2:$C$100, 3, TRUE)</f>
        <v>0</v>
      </c>
    </row>
    <row r="530" spans="7:11">
      <c r="G530">
        <v>10</v>
      </c>
      <c r="H530">
        <v>27</v>
      </c>
      <c r="I530" s="2">
        <f>INT(DATE($B$3,1,1) + (10+0.5)*365/50)</f>
        <v>0</v>
      </c>
      <c r="J530" s="2">
        <f>I530 - INT(ROUND($B$4 * 30.4375, 0) * (27+0.5)/50)</f>
        <v>0</v>
      </c>
      <c r="K530" s="4">
        <f>VLOOKUP(J530, '1_Rate_Changes'!$A$2:$C$100, 3, TRUE)</f>
        <v>0</v>
      </c>
    </row>
    <row r="531" spans="7:11">
      <c r="G531">
        <v>10</v>
      </c>
      <c r="H531">
        <v>28</v>
      </c>
      <c r="I531" s="2">
        <f>INT(DATE($B$3,1,1) + (10+0.5)*365/50)</f>
        <v>0</v>
      </c>
      <c r="J531" s="2">
        <f>I531 - INT(ROUND($B$4 * 30.4375, 0) * (28+0.5)/50)</f>
        <v>0</v>
      </c>
      <c r="K531" s="4">
        <f>VLOOKUP(J531, '1_Rate_Changes'!$A$2:$C$100, 3, TRUE)</f>
        <v>0</v>
      </c>
    </row>
    <row r="532" spans="7:11">
      <c r="G532">
        <v>10</v>
      </c>
      <c r="H532">
        <v>29</v>
      </c>
      <c r="I532" s="2">
        <f>INT(DATE($B$3,1,1) + (10+0.5)*365/50)</f>
        <v>0</v>
      </c>
      <c r="J532" s="2">
        <f>I532 - INT(ROUND($B$4 * 30.4375, 0) * (29+0.5)/50)</f>
        <v>0</v>
      </c>
      <c r="K532" s="4">
        <f>VLOOKUP(J532, '1_Rate_Changes'!$A$2:$C$100, 3, TRUE)</f>
        <v>0</v>
      </c>
    </row>
    <row r="533" spans="7:11">
      <c r="G533">
        <v>10</v>
      </c>
      <c r="H533">
        <v>30</v>
      </c>
      <c r="I533" s="2">
        <f>INT(DATE($B$3,1,1) + (10+0.5)*365/50)</f>
        <v>0</v>
      </c>
      <c r="J533" s="2">
        <f>I533 - INT(ROUND($B$4 * 30.4375, 0) * (30+0.5)/50)</f>
        <v>0</v>
      </c>
      <c r="K533" s="4">
        <f>VLOOKUP(J533, '1_Rate_Changes'!$A$2:$C$100, 3, TRUE)</f>
        <v>0</v>
      </c>
    </row>
    <row r="534" spans="7:11">
      <c r="G534">
        <v>10</v>
      </c>
      <c r="H534">
        <v>31</v>
      </c>
      <c r="I534" s="2">
        <f>INT(DATE($B$3,1,1) + (10+0.5)*365/50)</f>
        <v>0</v>
      </c>
      <c r="J534" s="2">
        <f>I534 - INT(ROUND($B$4 * 30.4375, 0) * (31+0.5)/50)</f>
        <v>0</v>
      </c>
      <c r="K534" s="4">
        <f>VLOOKUP(J534, '1_Rate_Changes'!$A$2:$C$100, 3, TRUE)</f>
        <v>0</v>
      </c>
    </row>
    <row r="535" spans="7:11">
      <c r="G535">
        <v>10</v>
      </c>
      <c r="H535">
        <v>32</v>
      </c>
      <c r="I535" s="2">
        <f>INT(DATE($B$3,1,1) + (10+0.5)*365/50)</f>
        <v>0</v>
      </c>
      <c r="J535" s="2">
        <f>I535 - INT(ROUND($B$4 * 30.4375, 0) * (32+0.5)/50)</f>
        <v>0</v>
      </c>
      <c r="K535" s="4">
        <f>VLOOKUP(J535, '1_Rate_Changes'!$A$2:$C$100, 3, TRUE)</f>
        <v>0</v>
      </c>
    </row>
    <row r="536" spans="7:11">
      <c r="G536">
        <v>10</v>
      </c>
      <c r="H536">
        <v>33</v>
      </c>
      <c r="I536" s="2">
        <f>INT(DATE($B$3,1,1) + (10+0.5)*365/50)</f>
        <v>0</v>
      </c>
      <c r="J536" s="2">
        <f>I536 - INT(ROUND($B$4 * 30.4375, 0) * (33+0.5)/50)</f>
        <v>0</v>
      </c>
      <c r="K536" s="4">
        <f>VLOOKUP(J536, '1_Rate_Changes'!$A$2:$C$100, 3, TRUE)</f>
        <v>0</v>
      </c>
    </row>
    <row r="537" spans="7:11">
      <c r="G537">
        <v>10</v>
      </c>
      <c r="H537">
        <v>34</v>
      </c>
      <c r="I537" s="2">
        <f>INT(DATE($B$3,1,1) + (10+0.5)*365/50)</f>
        <v>0</v>
      </c>
      <c r="J537" s="2">
        <f>I537 - INT(ROUND($B$4 * 30.4375, 0) * (34+0.5)/50)</f>
        <v>0</v>
      </c>
      <c r="K537" s="4">
        <f>VLOOKUP(J537, '1_Rate_Changes'!$A$2:$C$100, 3, TRUE)</f>
        <v>0</v>
      </c>
    </row>
    <row r="538" spans="7:11">
      <c r="G538">
        <v>10</v>
      </c>
      <c r="H538">
        <v>35</v>
      </c>
      <c r="I538" s="2">
        <f>INT(DATE($B$3,1,1) + (10+0.5)*365/50)</f>
        <v>0</v>
      </c>
      <c r="J538" s="2">
        <f>I538 - INT(ROUND($B$4 * 30.4375, 0) * (35+0.5)/50)</f>
        <v>0</v>
      </c>
      <c r="K538" s="4">
        <f>VLOOKUP(J538, '1_Rate_Changes'!$A$2:$C$100, 3, TRUE)</f>
        <v>0</v>
      </c>
    </row>
    <row r="539" spans="7:11">
      <c r="G539">
        <v>10</v>
      </c>
      <c r="H539">
        <v>36</v>
      </c>
      <c r="I539" s="2">
        <f>INT(DATE($B$3,1,1) + (10+0.5)*365/50)</f>
        <v>0</v>
      </c>
      <c r="J539" s="2">
        <f>I539 - INT(ROUND($B$4 * 30.4375, 0) * (36+0.5)/50)</f>
        <v>0</v>
      </c>
      <c r="K539" s="4">
        <f>VLOOKUP(J539, '1_Rate_Changes'!$A$2:$C$100, 3, TRUE)</f>
        <v>0</v>
      </c>
    </row>
    <row r="540" spans="7:11">
      <c r="G540">
        <v>10</v>
      </c>
      <c r="H540">
        <v>37</v>
      </c>
      <c r="I540" s="2">
        <f>INT(DATE($B$3,1,1) + (10+0.5)*365/50)</f>
        <v>0</v>
      </c>
      <c r="J540" s="2">
        <f>I540 - INT(ROUND($B$4 * 30.4375, 0) * (37+0.5)/50)</f>
        <v>0</v>
      </c>
      <c r="K540" s="4">
        <f>VLOOKUP(J540, '1_Rate_Changes'!$A$2:$C$100, 3, TRUE)</f>
        <v>0</v>
      </c>
    </row>
    <row r="541" spans="7:11">
      <c r="G541">
        <v>10</v>
      </c>
      <c r="H541">
        <v>38</v>
      </c>
      <c r="I541" s="2">
        <f>INT(DATE($B$3,1,1) + (10+0.5)*365/50)</f>
        <v>0</v>
      </c>
      <c r="J541" s="2">
        <f>I541 - INT(ROUND($B$4 * 30.4375, 0) * (38+0.5)/50)</f>
        <v>0</v>
      </c>
      <c r="K541" s="4">
        <f>VLOOKUP(J541, '1_Rate_Changes'!$A$2:$C$100, 3, TRUE)</f>
        <v>0</v>
      </c>
    </row>
    <row r="542" spans="7:11">
      <c r="G542">
        <v>10</v>
      </c>
      <c r="H542">
        <v>39</v>
      </c>
      <c r="I542" s="2">
        <f>INT(DATE($B$3,1,1) + (10+0.5)*365/50)</f>
        <v>0</v>
      </c>
      <c r="J542" s="2">
        <f>I542 - INT(ROUND($B$4 * 30.4375, 0) * (39+0.5)/50)</f>
        <v>0</v>
      </c>
      <c r="K542" s="4">
        <f>VLOOKUP(J542, '1_Rate_Changes'!$A$2:$C$100, 3, TRUE)</f>
        <v>0</v>
      </c>
    </row>
    <row r="543" spans="7:11">
      <c r="G543">
        <v>10</v>
      </c>
      <c r="H543">
        <v>40</v>
      </c>
      <c r="I543" s="2">
        <f>INT(DATE($B$3,1,1) + (10+0.5)*365/50)</f>
        <v>0</v>
      </c>
      <c r="J543" s="2">
        <f>I543 - INT(ROUND($B$4 * 30.4375, 0) * (40+0.5)/50)</f>
        <v>0</v>
      </c>
      <c r="K543" s="4">
        <f>VLOOKUP(J543, '1_Rate_Changes'!$A$2:$C$100, 3, TRUE)</f>
        <v>0</v>
      </c>
    </row>
    <row r="544" spans="7:11">
      <c r="G544">
        <v>10</v>
      </c>
      <c r="H544">
        <v>41</v>
      </c>
      <c r="I544" s="2">
        <f>INT(DATE($B$3,1,1) + (10+0.5)*365/50)</f>
        <v>0</v>
      </c>
      <c r="J544" s="2">
        <f>I544 - INT(ROUND($B$4 * 30.4375, 0) * (41+0.5)/50)</f>
        <v>0</v>
      </c>
      <c r="K544" s="4">
        <f>VLOOKUP(J544, '1_Rate_Changes'!$A$2:$C$100, 3, TRUE)</f>
        <v>0</v>
      </c>
    </row>
    <row r="545" spans="7:11">
      <c r="G545">
        <v>10</v>
      </c>
      <c r="H545">
        <v>42</v>
      </c>
      <c r="I545" s="2">
        <f>INT(DATE($B$3,1,1) + (10+0.5)*365/50)</f>
        <v>0</v>
      </c>
      <c r="J545" s="2">
        <f>I545 - INT(ROUND($B$4 * 30.4375, 0) * (42+0.5)/50)</f>
        <v>0</v>
      </c>
      <c r="K545" s="4">
        <f>VLOOKUP(J545, '1_Rate_Changes'!$A$2:$C$100, 3, TRUE)</f>
        <v>0</v>
      </c>
    </row>
    <row r="546" spans="7:11">
      <c r="G546">
        <v>10</v>
      </c>
      <c r="H546">
        <v>43</v>
      </c>
      <c r="I546" s="2">
        <f>INT(DATE($B$3,1,1) + (10+0.5)*365/50)</f>
        <v>0</v>
      </c>
      <c r="J546" s="2">
        <f>I546 - INT(ROUND($B$4 * 30.4375, 0) * (43+0.5)/50)</f>
        <v>0</v>
      </c>
      <c r="K546" s="4">
        <f>VLOOKUP(J546, '1_Rate_Changes'!$A$2:$C$100, 3, TRUE)</f>
        <v>0</v>
      </c>
    </row>
    <row r="547" spans="7:11">
      <c r="G547">
        <v>10</v>
      </c>
      <c r="H547">
        <v>44</v>
      </c>
      <c r="I547" s="2">
        <f>INT(DATE($B$3,1,1) + (10+0.5)*365/50)</f>
        <v>0</v>
      </c>
      <c r="J547" s="2">
        <f>I547 - INT(ROUND($B$4 * 30.4375, 0) * (44+0.5)/50)</f>
        <v>0</v>
      </c>
      <c r="K547" s="4">
        <f>VLOOKUP(J547, '1_Rate_Changes'!$A$2:$C$100, 3, TRUE)</f>
        <v>0</v>
      </c>
    </row>
    <row r="548" spans="7:11">
      <c r="G548">
        <v>10</v>
      </c>
      <c r="H548">
        <v>45</v>
      </c>
      <c r="I548" s="2">
        <f>INT(DATE($B$3,1,1) + (10+0.5)*365/50)</f>
        <v>0</v>
      </c>
      <c r="J548" s="2">
        <f>I548 - INT(ROUND($B$4 * 30.4375, 0) * (45+0.5)/50)</f>
        <v>0</v>
      </c>
      <c r="K548" s="4">
        <f>VLOOKUP(J548, '1_Rate_Changes'!$A$2:$C$100, 3, TRUE)</f>
        <v>0</v>
      </c>
    </row>
    <row r="549" spans="7:11">
      <c r="G549">
        <v>10</v>
      </c>
      <c r="H549">
        <v>46</v>
      </c>
      <c r="I549" s="2">
        <f>INT(DATE($B$3,1,1) + (10+0.5)*365/50)</f>
        <v>0</v>
      </c>
      <c r="J549" s="2">
        <f>I549 - INT(ROUND($B$4 * 30.4375, 0) * (46+0.5)/50)</f>
        <v>0</v>
      </c>
      <c r="K549" s="4">
        <f>VLOOKUP(J549, '1_Rate_Changes'!$A$2:$C$100, 3, TRUE)</f>
        <v>0</v>
      </c>
    </row>
    <row r="550" spans="7:11">
      <c r="G550">
        <v>10</v>
      </c>
      <c r="H550">
        <v>47</v>
      </c>
      <c r="I550" s="2">
        <f>INT(DATE($B$3,1,1) + (10+0.5)*365/50)</f>
        <v>0</v>
      </c>
      <c r="J550" s="2">
        <f>I550 - INT(ROUND($B$4 * 30.4375, 0) * (47+0.5)/50)</f>
        <v>0</v>
      </c>
      <c r="K550" s="4">
        <f>VLOOKUP(J550, '1_Rate_Changes'!$A$2:$C$100, 3, TRUE)</f>
        <v>0</v>
      </c>
    </row>
    <row r="551" spans="7:11">
      <c r="G551">
        <v>10</v>
      </c>
      <c r="H551">
        <v>48</v>
      </c>
      <c r="I551" s="2">
        <f>INT(DATE($B$3,1,1) + (10+0.5)*365/50)</f>
        <v>0</v>
      </c>
      <c r="J551" s="2">
        <f>I551 - INT(ROUND($B$4 * 30.4375, 0) * (48+0.5)/50)</f>
        <v>0</v>
      </c>
      <c r="K551" s="4">
        <f>VLOOKUP(J551, '1_Rate_Changes'!$A$2:$C$100, 3, TRUE)</f>
        <v>0</v>
      </c>
    </row>
    <row r="552" spans="7:11">
      <c r="G552">
        <v>10</v>
      </c>
      <c r="H552">
        <v>49</v>
      </c>
      <c r="I552" s="2">
        <f>INT(DATE($B$3,1,1) + (10+0.5)*365/50)</f>
        <v>0</v>
      </c>
      <c r="J552" s="2">
        <f>I552 - INT(ROUND($B$4 * 30.4375, 0) * (49+0.5)/50)</f>
        <v>0</v>
      </c>
      <c r="K552" s="4">
        <f>VLOOKUP(J552, '1_Rate_Changes'!$A$2:$C$100, 3, TRUE)</f>
        <v>0</v>
      </c>
    </row>
    <row r="553" spans="7:11">
      <c r="G553">
        <v>11</v>
      </c>
      <c r="H553">
        <v>0</v>
      </c>
      <c r="I553" s="2">
        <f>INT(DATE($B$3,1,1) + (11+0.5)*365/50)</f>
        <v>0</v>
      </c>
      <c r="J553" s="2">
        <f>I553 - INT(ROUND($B$4 * 30.4375, 0) * (0+0.5)/50)</f>
        <v>0</v>
      </c>
      <c r="K553" s="4">
        <f>VLOOKUP(J553, '1_Rate_Changes'!$A$2:$C$100, 3, TRUE)</f>
        <v>0</v>
      </c>
    </row>
    <row r="554" spans="7:11">
      <c r="G554">
        <v>11</v>
      </c>
      <c r="H554">
        <v>1</v>
      </c>
      <c r="I554" s="2">
        <f>INT(DATE($B$3,1,1) + (11+0.5)*365/50)</f>
        <v>0</v>
      </c>
      <c r="J554" s="2">
        <f>I554 - INT(ROUND($B$4 * 30.4375, 0) * (1+0.5)/50)</f>
        <v>0</v>
      </c>
      <c r="K554" s="4">
        <f>VLOOKUP(J554, '1_Rate_Changes'!$A$2:$C$100, 3, TRUE)</f>
        <v>0</v>
      </c>
    </row>
    <row r="555" spans="7:11">
      <c r="G555">
        <v>11</v>
      </c>
      <c r="H555">
        <v>2</v>
      </c>
      <c r="I555" s="2">
        <f>INT(DATE($B$3,1,1) + (11+0.5)*365/50)</f>
        <v>0</v>
      </c>
      <c r="J555" s="2">
        <f>I555 - INT(ROUND($B$4 * 30.4375, 0) * (2+0.5)/50)</f>
        <v>0</v>
      </c>
      <c r="K555" s="4">
        <f>VLOOKUP(J555, '1_Rate_Changes'!$A$2:$C$100, 3, TRUE)</f>
        <v>0</v>
      </c>
    </row>
    <row r="556" spans="7:11">
      <c r="G556">
        <v>11</v>
      </c>
      <c r="H556">
        <v>3</v>
      </c>
      <c r="I556" s="2">
        <f>INT(DATE($B$3,1,1) + (11+0.5)*365/50)</f>
        <v>0</v>
      </c>
      <c r="J556" s="2">
        <f>I556 - INT(ROUND($B$4 * 30.4375, 0) * (3+0.5)/50)</f>
        <v>0</v>
      </c>
      <c r="K556" s="4">
        <f>VLOOKUP(J556, '1_Rate_Changes'!$A$2:$C$100, 3, TRUE)</f>
        <v>0</v>
      </c>
    </row>
    <row r="557" spans="7:11">
      <c r="G557">
        <v>11</v>
      </c>
      <c r="H557">
        <v>4</v>
      </c>
      <c r="I557" s="2">
        <f>INT(DATE($B$3,1,1) + (11+0.5)*365/50)</f>
        <v>0</v>
      </c>
      <c r="J557" s="2">
        <f>I557 - INT(ROUND($B$4 * 30.4375, 0) * (4+0.5)/50)</f>
        <v>0</v>
      </c>
      <c r="K557" s="4">
        <f>VLOOKUP(J557, '1_Rate_Changes'!$A$2:$C$100, 3, TRUE)</f>
        <v>0</v>
      </c>
    </row>
    <row r="558" spans="7:11">
      <c r="G558">
        <v>11</v>
      </c>
      <c r="H558">
        <v>5</v>
      </c>
      <c r="I558" s="2">
        <f>INT(DATE($B$3,1,1) + (11+0.5)*365/50)</f>
        <v>0</v>
      </c>
      <c r="J558" s="2">
        <f>I558 - INT(ROUND($B$4 * 30.4375, 0) * (5+0.5)/50)</f>
        <v>0</v>
      </c>
      <c r="K558" s="4">
        <f>VLOOKUP(J558, '1_Rate_Changes'!$A$2:$C$100, 3, TRUE)</f>
        <v>0</v>
      </c>
    </row>
    <row r="559" spans="7:11">
      <c r="G559">
        <v>11</v>
      </c>
      <c r="H559">
        <v>6</v>
      </c>
      <c r="I559" s="2">
        <f>INT(DATE($B$3,1,1) + (11+0.5)*365/50)</f>
        <v>0</v>
      </c>
      <c r="J559" s="2">
        <f>I559 - INT(ROUND($B$4 * 30.4375, 0) * (6+0.5)/50)</f>
        <v>0</v>
      </c>
      <c r="K559" s="4">
        <f>VLOOKUP(J559, '1_Rate_Changes'!$A$2:$C$100, 3, TRUE)</f>
        <v>0</v>
      </c>
    </row>
    <row r="560" spans="7:11">
      <c r="G560">
        <v>11</v>
      </c>
      <c r="H560">
        <v>7</v>
      </c>
      <c r="I560" s="2">
        <f>INT(DATE($B$3,1,1) + (11+0.5)*365/50)</f>
        <v>0</v>
      </c>
      <c r="J560" s="2">
        <f>I560 - INT(ROUND($B$4 * 30.4375, 0) * (7+0.5)/50)</f>
        <v>0</v>
      </c>
      <c r="K560" s="4">
        <f>VLOOKUP(J560, '1_Rate_Changes'!$A$2:$C$100, 3, TRUE)</f>
        <v>0</v>
      </c>
    </row>
    <row r="561" spans="7:11">
      <c r="G561">
        <v>11</v>
      </c>
      <c r="H561">
        <v>8</v>
      </c>
      <c r="I561" s="2">
        <f>INT(DATE($B$3,1,1) + (11+0.5)*365/50)</f>
        <v>0</v>
      </c>
      <c r="J561" s="2">
        <f>I561 - INT(ROUND($B$4 * 30.4375, 0) * (8+0.5)/50)</f>
        <v>0</v>
      </c>
      <c r="K561" s="4">
        <f>VLOOKUP(J561, '1_Rate_Changes'!$A$2:$C$100, 3, TRUE)</f>
        <v>0</v>
      </c>
    </row>
    <row r="562" spans="7:11">
      <c r="G562">
        <v>11</v>
      </c>
      <c r="H562">
        <v>9</v>
      </c>
      <c r="I562" s="2">
        <f>INT(DATE($B$3,1,1) + (11+0.5)*365/50)</f>
        <v>0</v>
      </c>
      <c r="J562" s="2">
        <f>I562 - INT(ROUND($B$4 * 30.4375, 0) * (9+0.5)/50)</f>
        <v>0</v>
      </c>
      <c r="K562" s="4">
        <f>VLOOKUP(J562, '1_Rate_Changes'!$A$2:$C$100, 3, TRUE)</f>
        <v>0</v>
      </c>
    </row>
    <row r="563" spans="7:11">
      <c r="G563">
        <v>11</v>
      </c>
      <c r="H563">
        <v>10</v>
      </c>
      <c r="I563" s="2">
        <f>INT(DATE($B$3,1,1) + (11+0.5)*365/50)</f>
        <v>0</v>
      </c>
      <c r="J563" s="2">
        <f>I563 - INT(ROUND($B$4 * 30.4375, 0) * (10+0.5)/50)</f>
        <v>0</v>
      </c>
      <c r="K563" s="4">
        <f>VLOOKUP(J563, '1_Rate_Changes'!$A$2:$C$100, 3, TRUE)</f>
        <v>0</v>
      </c>
    </row>
    <row r="564" spans="7:11">
      <c r="G564">
        <v>11</v>
      </c>
      <c r="H564">
        <v>11</v>
      </c>
      <c r="I564" s="2">
        <f>INT(DATE($B$3,1,1) + (11+0.5)*365/50)</f>
        <v>0</v>
      </c>
      <c r="J564" s="2">
        <f>I564 - INT(ROUND($B$4 * 30.4375, 0) * (11+0.5)/50)</f>
        <v>0</v>
      </c>
      <c r="K564" s="4">
        <f>VLOOKUP(J564, '1_Rate_Changes'!$A$2:$C$100, 3, TRUE)</f>
        <v>0</v>
      </c>
    </row>
    <row r="565" spans="7:11">
      <c r="G565">
        <v>11</v>
      </c>
      <c r="H565">
        <v>12</v>
      </c>
      <c r="I565" s="2">
        <f>INT(DATE($B$3,1,1) + (11+0.5)*365/50)</f>
        <v>0</v>
      </c>
      <c r="J565" s="2">
        <f>I565 - INT(ROUND($B$4 * 30.4375, 0) * (12+0.5)/50)</f>
        <v>0</v>
      </c>
      <c r="K565" s="4">
        <f>VLOOKUP(J565, '1_Rate_Changes'!$A$2:$C$100, 3, TRUE)</f>
        <v>0</v>
      </c>
    </row>
    <row r="566" spans="7:11">
      <c r="G566">
        <v>11</v>
      </c>
      <c r="H566">
        <v>13</v>
      </c>
      <c r="I566" s="2">
        <f>INT(DATE($B$3,1,1) + (11+0.5)*365/50)</f>
        <v>0</v>
      </c>
      <c r="J566" s="2">
        <f>I566 - INT(ROUND($B$4 * 30.4375, 0) * (13+0.5)/50)</f>
        <v>0</v>
      </c>
      <c r="K566" s="4">
        <f>VLOOKUP(J566, '1_Rate_Changes'!$A$2:$C$100, 3, TRUE)</f>
        <v>0</v>
      </c>
    </row>
    <row r="567" spans="7:11">
      <c r="G567">
        <v>11</v>
      </c>
      <c r="H567">
        <v>14</v>
      </c>
      <c r="I567" s="2">
        <f>INT(DATE($B$3,1,1) + (11+0.5)*365/50)</f>
        <v>0</v>
      </c>
      <c r="J567" s="2">
        <f>I567 - INT(ROUND($B$4 * 30.4375, 0) * (14+0.5)/50)</f>
        <v>0</v>
      </c>
      <c r="K567" s="4">
        <f>VLOOKUP(J567, '1_Rate_Changes'!$A$2:$C$100, 3, TRUE)</f>
        <v>0</v>
      </c>
    </row>
    <row r="568" spans="7:11">
      <c r="G568">
        <v>11</v>
      </c>
      <c r="H568">
        <v>15</v>
      </c>
      <c r="I568" s="2">
        <f>INT(DATE($B$3,1,1) + (11+0.5)*365/50)</f>
        <v>0</v>
      </c>
      <c r="J568" s="2">
        <f>I568 - INT(ROUND($B$4 * 30.4375, 0) * (15+0.5)/50)</f>
        <v>0</v>
      </c>
      <c r="K568" s="4">
        <f>VLOOKUP(J568, '1_Rate_Changes'!$A$2:$C$100, 3, TRUE)</f>
        <v>0</v>
      </c>
    </row>
    <row r="569" spans="7:11">
      <c r="G569">
        <v>11</v>
      </c>
      <c r="H569">
        <v>16</v>
      </c>
      <c r="I569" s="2">
        <f>INT(DATE($B$3,1,1) + (11+0.5)*365/50)</f>
        <v>0</v>
      </c>
      <c r="J569" s="2">
        <f>I569 - INT(ROUND($B$4 * 30.4375, 0) * (16+0.5)/50)</f>
        <v>0</v>
      </c>
      <c r="K569" s="4">
        <f>VLOOKUP(J569, '1_Rate_Changes'!$A$2:$C$100, 3, TRUE)</f>
        <v>0</v>
      </c>
    </row>
    <row r="570" spans="7:11">
      <c r="G570">
        <v>11</v>
      </c>
      <c r="H570">
        <v>17</v>
      </c>
      <c r="I570" s="2">
        <f>INT(DATE($B$3,1,1) + (11+0.5)*365/50)</f>
        <v>0</v>
      </c>
      <c r="J570" s="2">
        <f>I570 - INT(ROUND($B$4 * 30.4375, 0) * (17+0.5)/50)</f>
        <v>0</v>
      </c>
      <c r="K570" s="4">
        <f>VLOOKUP(J570, '1_Rate_Changes'!$A$2:$C$100, 3, TRUE)</f>
        <v>0</v>
      </c>
    </row>
    <row r="571" spans="7:11">
      <c r="G571">
        <v>11</v>
      </c>
      <c r="H571">
        <v>18</v>
      </c>
      <c r="I571" s="2">
        <f>INT(DATE($B$3,1,1) + (11+0.5)*365/50)</f>
        <v>0</v>
      </c>
      <c r="J571" s="2">
        <f>I571 - INT(ROUND($B$4 * 30.4375, 0) * (18+0.5)/50)</f>
        <v>0</v>
      </c>
      <c r="K571" s="4">
        <f>VLOOKUP(J571, '1_Rate_Changes'!$A$2:$C$100, 3, TRUE)</f>
        <v>0</v>
      </c>
    </row>
    <row r="572" spans="7:11">
      <c r="G572">
        <v>11</v>
      </c>
      <c r="H572">
        <v>19</v>
      </c>
      <c r="I572" s="2">
        <f>INT(DATE($B$3,1,1) + (11+0.5)*365/50)</f>
        <v>0</v>
      </c>
      <c r="J572" s="2">
        <f>I572 - INT(ROUND($B$4 * 30.4375, 0) * (19+0.5)/50)</f>
        <v>0</v>
      </c>
      <c r="K572" s="4">
        <f>VLOOKUP(J572, '1_Rate_Changes'!$A$2:$C$100, 3, TRUE)</f>
        <v>0</v>
      </c>
    </row>
    <row r="573" spans="7:11">
      <c r="G573">
        <v>11</v>
      </c>
      <c r="H573">
        <v>20</v>
      </c>
      <c r="I573" s="2">
        <f>INT(DATE($B$3,1,1) + (11+0.5)*365/50)</f>
        <v>0</v>
      </c>
      <c r="J573" s="2">
        <f>I573 - INT(ROUND($B$4 * 30.4375, 0) * (20+0.5)/50)</f>
        <v>0</v>
      </c>
      <c r="K573" s="4">
        <f>VLOOKUP(J573, '1_Rate_Changes'!$A$2:$C$100, 3, TRUE)</f>
        <v>0</v>
      </c>
    </row>
    <row r="574" spans="7:11">
      <c r="G574">
        <v>11</v>
      </c>
      <c r="H574">
        <v>21</v>
      </c>
      <c r="I574" s="2">
        <f>INT(DATE($B$3,1,1) + (11+0.5)*365/50)</f>
        <v>0</v>
      </c>
      <c r="J574" s="2">
        <f>I574 - INT(ROUND($B$4 * 30.4375, 0) * (21+0.5)/50)</f>
        <v>0</v>
      </c>
      <c r="K574" s="4">
        <f>VLOOKUP(J574, '1_Rate_Changes'!$A$2:$C$100, 3, TRUE)</f>
        <v>0</v>
      </c>
    </row>
    <row r="575" spans="7:11">
      <c r="G575">
        <v>11</v>
      </c>
      <c r="H575">
        <v>22</v>
      </c>
      <c r="I575" s="2">
        <f>INT(DATE($B$3,1,1) + (11+0.5)*365/50)</f>
        <v>0</v>
      </c>
      <c r="J575" s="2">
        <f>I575 - INT(ROUND($B$4 * 30.4375, 0) * (22+0.5)/50)</f>
        <v>0</v>
      </c>
      <c r="K575" s="4">
        <f>VLOOKUP(J575, '1_Rate_Changes'!$A$2:$C$100, 3, TRUE)</f>
        <v>0</v>
      </c>
    </row>
    <row r="576" spans="7:11">
      <c r="G576">
        <v>11</v>
      </c>
      <c r="H576">
        <v>23</v>
      </c>
      <c r="I576" s="2">
        <f>INT(DATE($B$3,1,1) + (11+0.5)*365/50)</f>
        <v>0</v>
      </c>
      <c r="J576" s="2">
        <f>I576 - INT(ROUND($B$4 * 30.4375, 0) * (23+0.5)/50)</f>
        <v>0</v>
      </c>
      <c r="K576" s="4">
        <f>VLOOKUP(J576, '1_Rate_Changes'!$A$2:$C$100, 3, TRUE)</f>
        <v>0</v>
      </c>
    </row>
    <row r="577" spans="7:11">
      <c r="G577">
        <v>11</v>
      </c>
      <c r="H577">
        <v>24</v>
      </c>
      <c r="I577" s="2">
        <f>INT(DATE($B$3,1,1) + (11+0.5)*365/50)</f>
        <v>0</v>
      </c>
      <c r="J577" s="2">
        <f>I577 - INT(ROUND($B$4 * 30.4375, 0) * (24+0.5)/50)</f>
        <v>0</v>
      </c>
      <c r="K577" s="4">
        <f>VLOOKUP(J577, '1_Rate_Changes'!$A$2:$C$100, 3, TRUE)</f>
        <v>0</v>
      </c>
    </row>
    <row r="578" spans="7:11">
      <c r="G578">
        <v>11</v>
      </c>
      <c r="H578">
        <v>25</v>
      </c>
      <c r="I578" s="2">
        <f>INT(DATE($B$3,1,1) + (11+0.5)*365/50)</f>
        <v>0</v>
      </c>
      <c r="J578" s="2">
        <f>I578 - INT(ROUND($B$4 * 30.4375, 0) * (25+0.5)/50)</f>
        <v>0</v>
      </c>
      <c r="K578" s="4">
        <f>VLOOKUP(J578, '1_Rate_Changes'!$A$2:$C$100, 3, TRUE)</f>
        <v>0</v>
      </c>
    </row>
    <row r="579" spans="7:11">
      <c r="G579">
        <v>11</v>
      </c>
      <c r="H579">
        <v>26</v>
      </c>
      <c r="I579" s="2">
        <f>INT(DATE($B$3,1,1) + (11+0.5)*365/50)</f>
        <v>0</v>
      </c>
      <c r="J579" s="2">
        <f>I579 - INT(ROUND($B$4 * 30.4375, 0) * (26+0.5)/50)</f>
        <v>0</v>
      </c>
      <c r="K579" s="4">
        <f>VLOOKUP(J579, '1_Rate_Changes'!$A$2:$C$100, 3, TRUE)</f>
        <v>0</v>
      </c>
    </row>
    <row r="580" spans="7:11">
      <c r="G580">
        <v>11</v>
      </c>
      <c r="H580">
        <v>27</v>
      </c>
      <c r="I580" s="2">
        <f>INT(DATE($B$3,1,1) + (11+0.5)*365/50)</f>
        <v>0</v>
      </c>
      <c r="J580" s="2">
        <f>I580 - INT(ROUND($B$4 * 30.4375, 0) * (27+0.5)/50)</f>
        <v>0</v>
      </c>
      <c r="K580" s="4">
        <f>VLOOKUP(J580, '1_Rate_Changes'!$A$2:$C$100, 3, TRUE)</f>
        <v>0</v>
      </c>
    </row>
    <row r="581" spans="7:11">
      <c r="G581">
        <v>11</v>
      </c>
      <c r="H581">
        <v>28</v>
      </c>
      <c r="I581" s="2">
        <f>INT(DATE($B$3,1,1) + (11+0.5)*365/50)</f>
        <v>0</v>
      </c>
      <c r="J581" s="2">
        <f>I581 - INT(ROUND($B$4 * 30.4375, 0) * (28+0.5)/50)</f>
        <v>0</v>
      </c>
      <c r="K581" s="4">
        <f>VLOOKUP(J581, '1_Rate_Changes'!$A$2:$C$100, 3, TRUE)</f>
        <v>0</v>
      </c>
    </row>
    <row r="582" spans="7:11">
      <c r="G582">
        <v>11</v>
      </c>
      <c r="H582">
        <v>29</v>
      </c>
      <c r="I582" s="2">
        <f>INT(DATE($B$3,1,1) + (11+0.5)*365/50)</f>
        <v>0</v>
      </c>
      <c r="J582" s="2">
        <f>I582 - INT(ROUND($B$4 * 30.4375, 0) * (29+0.5)/50)</f>
        <v>0</v>
      </c>
      <c r="K582" s="4">
        <f>VLOOKUP(J582, '1_Rate_Changes'!$A$2:$C$100, 3, TRUE)</f>
        <v>0</v>
      </c>
    </row>
    <row r="583" spans="7:11">
      <c r="G583">
        <v>11</v>
      </c>
      <c r="H583">
        <v>30</v>
      </c>
      <c r="I583" s="2">
        <f>INT(DATE($B$3,1,1) + (11+0.5)*365/50)</f>
        <v>0</v>
      </c>
      <c r="J583" s="2">
        <f>I583 - INT(ROUND($B$4 * 30.4375, 0) * (30+0.5)/50)</f>
        <v>0</v>
      </c>
      <c r="K583" s="4">
        <f>VLOOKUP(J583, '1_Rate_Changes'!$A$2:$C$100, 3, TRUE)</f>
        <v>0</v>
      </c>
    </row>
    <row r="584" spans="7:11">
      <c r="G584">
        <v>11</v>
      </c>
      <c r="H584">
        <v>31</v>
      </c>
      <c r="I584" s="2">
        <f>INT(DATE($B$3,1,1) + (11+0.5)*365/50)</f>
        <v>0</v>
      </c>
      <c r="J584" s="2">
        <f>I584 - INT(ROUND($B$4 * 30.4375, 0) * (31+0.5)/50)</f>
        <v>0</v>
      </c>
      <c r="K584" s="4">
        <f>VLOOKUP(J584, '1_Rate_Changes'!$A$2:$C$100, 3, TRUE)</f>
        <v>0</v>
      </c>
    </row>
    <row r="585" spans="7:11">
      <c r="G585">
        <v>11</v>
      </c>
      <c r="H585">
        <v>32</v>
      </c>
      <c r="I585" s="2">
        <f>INT(DATE($B$3,1,1) + (11+0.5)*365/50)</f>
        <v>0</v>
      </c>
      <c r="J585" s="2">
        <f>I585 - INT(ROUND($B$4 * 30.4375, 0) * (32+0.5)/50)</f>
        <v>0</v>
      </c>
      <c r="K585" s="4">
        <f>VLOOKUP(J585, '1_Rate_Changes'!$A$2:$C$100, 3, TRUE)</f>
        <v>0</v>
      </c>
    </row>
    <row r="586" spans="7:11">
      <c r="G586">
        <v>11</v>
      </c>
      <c r="H586">
        <v>33</v>
      </c>
      <c r="I586" s="2">
        <f>INT(DATE($B$3,1,1) + (11+0.5)*365/50)</f>
        <v>0</v>
      </c>
      <c r="J586" s="2">
        <f>I586 - INT(ROUND($B$4 * 30.4375, 0) * (33+0.5)/50)</f>
        <v>0</v>
      </c>
      <c r="K586" s="4">
        <f>VLOOKUP(J586, '1_Rate_Changes'!$A$2:$C$100, 3, TRUE)</f>
        <v>0</v>
      </c>
    </row>
    <row r="587" spans="7:11">
      <c r="G587">
        <v>11</v>
      </c>
      <c r="H587">
        <v>34</v>
      </c>
      <c r="I587" s="2">
        <f>INT(DATE($B$3,1,1) + (11+0.5)*365/50)</f>
        <v>0</v>
      </c>
      <c r="J587" s="2">
        <f>I587 - INT(ROUND($B$4 * 30.4375, 0) * (34+0.5)/50)</f>
        <v>0</v>
      </c>
      <c r="K587" s="4">
        <f>VLOOKUP(J587, '1_Rate_Changes'!$A$2:$C$100, 3, TRUE)</f>
        <v>0</v>
      </c>
    </row>
    <row r="588" spans="7:11">
      <c r="G588">
        <v>11</v>
      </c>
      <c r="H588">
        <v>35</v>
      </c>
      <c r="I588" s="2">
        <f>INT(DATE($B$3,1,1) + (11+0.5)*365/50)</f>
        <v>0</v>
      </c>
      <c r="J588" s="2">
        <f>I588 - INT(ROUND($B$4 * 30.4375, 0) * (35+0.5)/50)</f>
        <v>0</v>
      </c>
      <c r="K588" s="4">
        <f>VLOOKUP(J588, '1_Rate_Changes'!$A$2:$C$100, 3, TRUE)</f>
        <v>0</v>
      </c>
    </row>
    <row r="589" spans="7:11">
      <c r="G589">
        <v>11</v>
      </c>
      <c r="H589">
        <v>36</v>
      </c>
      <c r="I589" s="2">
        <f>INT(DATE($B$3,1,1) + (11+0.5)*365/50)</f>
        <v>0</v>
      </c>
      <c r="J589" s="2">
        <f>I589 - INT(ROUND($B$4 * 30.4375, 0) * (36+0.5)/50)</f>
        <v>0</v>
      </c>
      <c r="K589" s="4">
        <f>VLOOKUP(J589, '1_Rate_Changes'!$A$2:$C$100, 3, TRUE)</f>
        <v>0</v>
      </c>
    </row>
    <row r="590" spans="7:11">
      <c r="G590">
        <v>11</v>
      </c>
      <c r="H590">
        <v>37</v>
      </c>
      <c r="I590" s="2">
        <f>INT(DATE($B$3,1,1) + (11+0.5)*365/50)</f>
        <v>0</v>
      </c>
      <c r="J590" s="2">
        <f>I590 - INT(ROUND($B$4 * 30.4375, 0) * (37+0.5)/50)</f>
        <v>0</v>
      </c>
      <c r="K590" s="4">
        <f>VLOOKUP(J590, '1_Rate_Changes'!$A$2:$C$100, 3, TRUE)</f>
        <v>0</v>
      </c>
    </row>
    <row r="591" spans="7:11">
      <c r="G591">
        <v>11</v>
      </c>
      <c r="H591">
        <v>38</v>
      </c>
      <c r="I591" s="2">
        <f>INT(DATE($B$3,1,1) + (11+0.5)*365/50)</f>
        <v>0</v>
      </c>
      <c r="J591" s="2">
        <f>I591 - INT(ROUND($B$4 * 30.4375, 0) * (38+0.5)/50)</f>
        <v>0</v>
      </c>
      <c r="K591" s="4">
        <f>VLOOKUP(J591, '1_Rate_Changes'!$A$2:$C$100, 3, TRUE)</f>
        <v>0</v>
      </c>
    </row>
    <row r="592" spans="7:11">
      <c r="G592">
        <v>11</v>
      </c>
      <c r="H592">
        <v>39</v>
      </c>
      <c r="I592" s="2">
        <f>INT(DATE($B$3,1,1) + (11+0.5)*365/50)</f>
        <v>0</v>
      </c>
      <c r="J592" s="2">
        <f>I592 - INT(ROUND($B$4 * 30.4375, 0) * (39+0.5)/50)</f>
        <v>0</v>
      </c>
      <c r="K592" s="4">
        <f>VLOOKUP(J592, '1_Rate_Changes'!$A$2:$C$100, 3, TRUE)</f>
        <v>0</v>
      </c>
    </row>
    <row r="593" spans="7:11">
      <c r="G593">
        <v>11</v>
      </c>
      <c r="H593">
        <v>40</v>
      </c>
      <c r="I593" s="2">
        <f>INT(DATE($B$3,1,1) + (11+0.5)*365/50)</f>
        <v>0</v>
      </c>
      <c r="J593" s="2">
        <f>I593 - INT(ROUND($B$4 * 30.4375, 0) * (40+0.5)/50)</f>
        <v>0</v>
      </c>
      <c r="K593" s="4">
        <f>VLOOKUP(J593, '1_Rate_Changes'!$A$2:$C$100, 3, TRUE)</f>
        <v>0</v>
      </c>
    </row>
    <row r="594" spans="7:11">
      <c r="G594">
        <v>11</v>
      </c>
      <c r="H594">
        <v>41</v>
      </c>
      <c r="I594" s="2">
        <f>INT(DATE($B$3,1,1) + (11+0.5)*365/50)</f>
        <v>0</v>
      </c>
      <c r="J594" s="2">
        <f>I594 - INT(ROUND($B$4 * 30.4375, 0) * (41+0.5)/50)</f>
        <v>0</v>
      </c>
      <c r="K594" s="4">
        <f>VLOOKUP(J594, '1_Rate_Changes'!$A$2:$C$100, 3, TRUE)</f>
        <v>0</v>
      </c>
    </row>
    <row r="595" spans="7:11">
      <c r="G595">
        <v>11</v>
      </c>
      <c r="H595">
        <v>42</v>
      </c>
      <c r="I595" s="2">
        <f>INT(DATE($B$3,1,1) + (11+0.5)*365/50)</f>
        <v>0</v>
      </c>
      <c r="J595" s="2">
        <f>I595 - INT(ROUND($B$4 * 30.4375, 0) * (42+0.5)/50)</f>
        <v>0</v>
      </c>
      <c r="K595" s="4">
        <f>VLOOKUP(J595, '1_Rate_Changes'!$A$2:$C$100, 3, TRUE)</f>
        <v>0</v>
      </c>
    </row>
    <row r="596" spans="7:11">
      <c r="G596">
        <v>11</v>
      </c>
      <c r="H596">
        <v>43</v>
      </c>
      <c r="I596" s="2">
        <f>INT(DATE($B$3,1,1) + (11+0.5)*365/50)</f>
        <v>0</v>
      </c>
      <c r="J596" s="2">
        <f>I596 - INT(ROUND($B$4 * 30.4375, 0) * (43+0.5)/50)</f>
        <v>0</v>
      </c>
      <c r="K596" s="4">
        <f>VLOOKUP(J596, '1_Rate_Changes'!$A$2:$C$100, 3, TRUE)</f>
        <v>0</v>
      </c>
    </row>
    <row r="597" spans="7:11">
      <c r="G597">
        <v>11</v>
      </c>
      <c r="H597">
        <v>44</v>
      </c>
      <c r="I597" s="2">
        <f>INT(DATE($B$3,1,1) + (11+0.5)*365/50)</f>
        <v>0</v>
      </c>
      <c r="J597" s="2">
        <f>I597 - INT(ROUND($B$4 * 30.4375, 0) * (44+0.5)/50)</f>
        <v>0</v>
      </c>
      <c r="K597" s="4">
        <f>VLOOKUP(J597, '1_Rate_Changes'!$A$2:$C$100, 3, TRUE)</f>
        <v>0</v>
      </c>
    </row>
    <row r="598" spans="7:11">
      <c r="G598">
        <v>11</v>
      </c>
      <c r="H598">
        <v>45</v>
      </c>
      <c r="I598" s="2">
        <f>INT(DATE($B$3,1,1) + (11+0.5)*365/50)</f>
        <v>0</v>
      </c>
      <c r="J598" s="2">
        <f>I598 - INT(ROUND($B$4 * 30.4375, 0) * (45+0.5)/50)</f>
        <v>0</v>
      </c>
      <c r="K598" s="4">
        <f>VLOOKUP(J598, '1_Rate_Changes'!$A$2:$C$100, 3, TRUE)</f>
        <v>0</v>
      </c>
    </row>
    <row r="599" spans="7:11">
      <c r="G599">
        <v>11</v>
      </c>
      <c r="H599">
        <v>46</v>
      </c>
      <c r="I599" s="2">
        <f>INT(DATE($B$3,1,1) + (11+0.5)*365/50)</f>
        <v>0</v>
      </c>
      <c r="J599" s="2">
        <f>I599 - INT(ROUND($B$4 * 30.4375, 0) * (46+0.5)/50)</f>
        <v>0</v>
      </c>
      <c r="K599" s="4">
        <f>VLOOKUP(J599, '1_Rate_Changes'!$A$2:$C$100, 3, TRUE)</f>
        <v>0</v>
      </c>
    </row>
    <row r="600" spans="7:11">
      <c r="G600">
        <v>11</v>
      </c>
      <c r="H600">
        <v>47</v>
      </c>
      <c r="I600" s="2">
        <f>INT(DATE($B$3,1,1) + (11+0.5)*365/50)</f>
        <v>0</v>
      </c>
      <c r="J600" s="2">
        <f>I600 - INT(ROUND($B$4 * 30.4375, 0) * (47+0.5)/50)</f>
        <v>0</v>
      </c>
      <c r="K600" s="4">
        <f>VLOOKUP(J600, '1_Rate_Changes'!$A$2:$C$100, 3, TRUE)</f>
        <v>0</v>
      </c>
    </row>
    <row r="601" spans="7:11">
      <c r="G601">
        <v>11</v>
      </c>
      <c r="H601">
        <v>48</v>
      </c>
      <c r="I601" s="2">
        <f>INT(DATE($B$3,1,1) + (11+0.5)*365/50)</f>
        <v>0</v>
      </c>
      <c r="J601" s="2">
        <f>I601 - INT(ROUND($B$4 * 30.4375, 0) * (48+0.5)/50)</f>
        <v>0</v>
      </c>
      <c r="K601" s="4">
        <f>VLOOKUP(J601, '1_Rate_Changes'!$A$2:$C$100, 3, TRUE)</f>
        <v>0</v>
      </c>
    </row>
    <row r="602" spans="7:11">
      <c r="G602">
        <v>11</v>
      </c>
      <c r="H602">
        <v>49</v>
      </c>
      <c r="I602" s="2">
        <f>INT(DATE($B$3,1,1) + (11+0.5)*365/50)</f>
        <v>0</v>
      </c>
      <c r="J602" s="2">
        <f>I602 - INT(ROUND($B$4 * 30.4375, 0) * (49+0.5)/50)</f>
        <v>0</v>
      </c>
      <c r="K602" s="4">
        <f>VLOOKUP(J602, '1_Rate_Changes'!$A$2:$C$100, 3, TRUE)</f>
        <v>0</v>
      </c>
    </row>
    <row r="603" spans="7:11">
      <c r="G603">
        <v>12</v>
      </c>
      <c r="H603">
        <v>0</v>
      </c>
      <c r="I603" s="2">
        <f>INT(DATE($B$3,1,1) + (12+0.5)*365/50)</f>
        <v>0</v>
      </c>
      <c r="J603" s="2">
        <f>I603 - INT(ROUND($B$4 * 30.4375, 0) * (0+0.5)/50)</f>
        <v>0</v>
      </c>
      <c r="K603" s="4">
        <f>VLOOKUP(J603, '1_Rate_Changes'!$A$2:$C$100, 3, TRUE)</f>
        <v>0</v>
      </c>
    </row>
    <row r="604" spans="7:11">
      <c r="G604">
        <v>12</v>
      </c>
      <c r="H604">
        <v>1</v>
      </c>
      <c r="I604" s="2">
        <f>INT(DATE($B$3,1,1) + (12+0.5)*365/50)</f>
        <v>0</v>
      </c>
      <c r="J604" s="2">
        <f>I604 - INT(ROUND($B$4 * 30.4375, 0) * (1+0.5)/50)</f>
        <v>0</v>
      </c>
      <c r="K604" s="4">
        <f>VLOOKUP(J604, '1_Rate_Changes'!$A$2:$C$100, 3, TRUE)</f>
        <v>0</v>
      </c>
    </row>
    <row r="605" spans="7:11">
      <c r="G605">
        <v>12</v>
      </c>
      <c r="H605">
        <v>2</v>
      </c>
      <c r="I605" s="2">
        <f>INT(DATE($B$3,1,1) + (12+0.5)*365/50)</f>
        <v>0</v>
      </c>
      <c r="J605" s="2">
        <f>I605 - INT(ROUND($B$4 * 30.4375, 0) * (2+0.5)/50)</f>
        <v>0</v>
      </c>
      <c r="K605" s="4">
        <f>VLOOKUP(J605, '1_Rate_Changes'!$A$2:$C$100, 3, TRUE)</f>
        <v>0</v>
      </c>
    </row>
    <row r="606" spans="7:11">
      <c r="G606">
        <v>12</v>
      </c>
      <c r="H606">
        <v>3</v>
      </c>
      <c r="I606" s="2">
        <f>INT(DATE($B$3,1,1) + (12+0.5)*365/50)</f>
        <v>0</v>
      </c>
      <c r="J606" s="2">
        <f>I606 - INT(ROUND($B$4 * 30.4375, 0) * (3+0.5)/50)</f>
        <v>0</v>
      </c>
      <c r="K606" s="4">
        <f>VLOOKUP(J606, '1_Rate_Changes'!$A$2:$C$100, 3, TRUE)</f>
        <v>0</v>
      </c>
    </row>
    <row r="607" spans="7:11">
      <c r="G607">
        <v>12</v>
      </c>
      <c r="H607">
        <v>4</v>
      </c>
      <c r="I607" s="2">
        <f>INT(DATE($B$3,1,1) + (12+0.5)*365/50)</f>
        <v>0</v>
      </c>
      <c r="J607" s="2">
        <f>I607 - INT(ROUND($B$4 * 30.4375, 0) * (4+0.5)/50)</f>
        <v>0</v>
      </c>
      <c r="K607" s="4">
        <f>VLOOKUP(J607, '1_Rate_Changes'!$A$2:$C$100, 3, TRUE)</f>
        <v>0</v>
      </c>
    </row>
    <row r="608" spans="7:11">
      <c r="G608">
        <v>12</v>
      </c>
      <c r="H608">
        <v>5</v>
      </c>
      <c r="I608" s="2">
        <f>INT(DATE($B$3,1,1) + (12+0.5)*365/50)</f>
        <v>0</v>
      </c>
      <c r="J608" s="2">
        <f>I608 - INT(ROUND($B$4 * 30.4375, 0) * (5+0.5)/50)</f>
        <v>0</v>
      </c>
      <c r="K608" s="4">
        <f>VLOOKUP(J608, '1_Rate_Changes'!$A$2:$C$100, 3, TRUE)</f>
        <v>0</v>
      </c>
    </row>
    <row r="609" spans="7:11">
      <c r="G609">
        <v>12</v>
      </c>
      <c r="H609">
        <v>6</v>
      </c>
      <c r="I609" s="2">
        <f>INT(DATE($B$3,1,1) + (12+0.5)*365/50)</f>
        <v>0</v>
      </c>
      <c r="J609" s="2">
        <f>I609 - INT(ROUND($B$4 * 30.4375, 0) * (6+0.5)/50)</f>
        <v>0</v>
      </c>
      <c r="K609" s="4">
        <f>VLOOKUP(J609, '1_Rate_Changes'!$A$2:$C$100, 3, TRUE)</f>
        <v>0</v>
      </c>
    </row>
    <row r="610" spans="7:11">
      <c r="G610">
        <v>12</v>
      </c>
      <c r="H610">
        <v>7</v>
      </c>
      <c r="I610" s="2">
        <f>INT(DATE($B$3,1,1) + (12+0.5)*365/50)</f>
        <v>0</v>
      </c>
      <c r="J610" s="2">
        <f>I610 - INT(ROUND($B$4 * 30.4375, 0) * (7+0.5)/50)</f>
        <v>0</v>
      </c>
      <c r="K610" s="4">
        <f>VLOOKUP(J610, '1_Rate_Changes'!$A$2:$C$100, 3, TRUE)</f>
        <v>0</v>
      </c>
    </row>
    <row r="611" spans="7:11">
      <c r="G611">
        <v>12</v>
      </c>
      <c r="H611">
        <v>8</v>
      </c>
      <c r="I611" s="2">
        <f>INT(DATE($B$3,1,1) + (12+0.5)*365/50)</f>
        <v>0</v>
      </c>
      <c r="J611" s="2">
        <f>I611 - INT(ROUND($B$4 * 30.4375, 0) * (8+0.5)/50)</f>
        <v>0</v>
      </c>
      <c r="K611" s="4">
        <f>VLOOKUP(J611, '1_Rate_Changes'!$A$2:$C$100, 3, TRUE)</f>
        <v>0</v>
      </c>
    </row>
    <row r="612" spans="7:11">
      <c r="G612">
        <v>12</v>
      </c>
      <c r="H612">
        <v>9</v>
      </c>
      <c r="I612" s="2">
        <f>INT(DATE($B$3,1,1) + (12+0.5)*365/50)</f>
        <v>0</v>
      </c>
      <c r="J612" s="2">
        <f>I612 - INT(ROUND($B$4 * 30.4375, 0) * (9+0.5)/50)</f>
        <v>0</v>
      </c>
      <c r="K612" s="4">
        <f>VLOOKUP(J612, '1_Rate_Changes'!$A$2:$C$100, 3, TRUE)</f>
        <v>0</v>
      </c>
    </row>
    <row r="613" spans="7:11">
      <c r="G613">
        <v>12</v>
      </c>
      <c r="H613">
        <v>10</v>
      </c>
      <c r="I613" s="2">
        <f>INT(DATE($B$3,1,1) + (12+0.5)*365/50)</f>
        <v>0</v>
      </c>
      <c r="J613" s="2">
        <f>I613 - INT(ROUND($B$4 * 30.4375, 0) * (10+0.5)/50)</f>
        <v>0</v>
      </c>
      <c r="K613" s="4">
        <f>VLOOKUP(J613, '1_Rate_Changes'!$A$2:$C$100, 3, TRUE)</f>
        <v>0</v>
      </c>
    </row>
    <row r="614" spans="7:11">
      <c r="G614">
        <v>12</v>
      </c>
      <c r="H614">
        <v>11</v>
      </c>
      <c r="I614" s="2">
        <f>INT(DATE($B$3,1,1) + (12+0.5)*365/50)</f>
        <v>0</v>
      </c>
      <c r="J614" s="2">
        <f>I614 - INT(ROUND($B$4 * 30.4375, 0) * (11+0.5)/50)</f>
        <v>0</v>
      </c>
      <c r="K614" s="4">
        <f>VLOOKUP(J614, '1_Rate_Changes'!$A$2:$C$100, 3, TRUE)</f>
        <v>0</v>
      </c>
    </row>
    <row r="615" spans="7:11">
      <c r="G615">
        <v>12</v>
      </c>
      <c r="H615">
        <v>12</v>
      </c>
      <c r="I615" s="2">
        <f>INT(DATE($B$3,1,1) + (12+0.5)*365/50)</f>
        <v>0</v>
      </c>
      <c r="J615" s="2">
        <f>I615 - INT(ROUND($B$4 * 30.4375, 0) * (12+0.5)/50)</f>
        <v>0</v>
      </c>
      <c r="K615" s="4">
        <f>VLOOKUP(J615, '1_Rate_Changes'!$A$2:$C$100, 3, TRUE)</f>
        <v>0</v>
      </c>
    </row>
    <row r="616" spans="7:11">
      <c r="G616">
        <v>12</v>
      </c>
      <c r="H616">
        <v>13</v>
      </c>
      <c r="I616" s="2">
        <f>INT(DATE($B$3,1,1) + (12+0.5)*365/50)</f>
        <v>0</v>
      </c>
      <c r="J616" s="2">
        <f>I616 - INT(ROUND($B$4 * 30.4375, 0) * (13+0.5)/50)</f>
        <v>0</v>
      </c>
      <c r="K616" s="4">
        <f>VLOOKUP(J616, '1_Rate_Changes'!$A$2:$C$100, 3, TRUE)</f>
        <v>0</v>
      </c>
    </row>
    <row r="617" spans="7:11">
      <c r="G617">
        <v>12</v>
      </c>
      <c r="H617">
        <v>14</v>
      </c>
      <c r="I617" s="2">
        <f>INT(DATE($B$3,1,1) + (12+0.5)*365/50)</f>
        <v>0</v>
      </c>
      <c r="J617" s="2">
        <f>I617 - INT(ROUND($B$4 * 30.4375, 0) * (14+0.5)/50)</f>
        <v>0</v>
      </c>
      <c r="K617" s="4">
        <f>VLOOKUP(J617, '1_Rate_Changes'!$A$2:$C$100, 3, TRUE)</f>
        <v>0</v>
      </c>
    </row>
    <row r="618" spans="7:11">
      <c r="G618">
        <v>12</v>
      </c>
      <c r="H618">
        <v>15</v>
      </c>
      <c r="I618" s="2">
        <f>INT(DATE($B$3,1,1) + (12+0.5)*365/50)</f>
        <v>0</v>
      </c>
      <c r="J618" s="2">
        <f>I618 - INT(ROUND($B$4 * 30.4375, 0) * (15+0.5)/50)</f>
        <v>0</v>
      </c>
      <c r="K618" s="4">
        <f>VLOOKUP(J618, '1_Rate_Changes'!$A$2:$C$100, 3, TRUE)</f>
        <v>0</v>
      </c>
    </row>
    <row r="619" spans="7:11">
      <c r="G619">
        <v>12</v>
      </c>
      <c r="H619">
        <v>16</v>
      </c>
      <c r="I619" s="2">
        <f>INT(DATE($B$3,1,1) + (12+0.5)*365/50)</f>
        <v>0</v>
      </c>
      <c r="J619" s="2">
        <f>I619 - INT(ROUND($B$4 * 30.4375, 0) * (16+0.5)/50)</f>
        <v>0</v>
      </c>
      <c r="K619" s="4">
        <f>VLOOKUP(J619, '1_Rate_Changes'!$A$2:$C$100, 3, TRUE)</f>
        <v>0</v>
      </c>
    </row>
    <row r="620" spans="7:11">
      <c r="G620">
        <v>12</v>
      </c>
      <c r="H620">
        <v>17</v>
      </c>
      <c r="I620" s="2">
        <f>INT(DATE($B$3,1,1) + (12+0.5)*365/50)</f>
        <v>0</v>
      </c>
      <c r="J620" s="2">
        <f>I620 - INT(ROUND($B$4 * 30.4375, 0) * (17+0.5)/50)</f>
        <v>0</v>
      </c>
      <c r="K620" s="4">
        <f>VLOOKUP(J620, '1_Rate_Changes'!$A$2:$C$100, 3, TRUE)</f>
        <v>0</v>
      </c>
    </row>
    <row r="621" spans="7:11">
      <c r="G621">
        <v>12</v>
      </c>
      <c r="H621">
        <v>18</v>
      </c>
      <c r="I621" s="2">
        <f>INT(DATE($B$3,1,1) + (12+0.5)*365/50)</f>
        <v>0</v>
      </c>
      <c r="J621" s="2">
        <f>I621 - INT(ROUND($B$4 * 30.4375, 0) * (18+0.5)/50)</f>
        <v>0</v>
      </c>
      <c r="K621" s="4">
        <f>VLOOKUP(J621, '1_Rate_Changes'!$A$2:$C$100, 3, TRUE)</f>
        <v>0</v>
      </c>
    </row>
    <row r="622" spans="7:11">
      <c r="G622">
        <v>12</v>
      </c>
      <c r="H622">
        <v>19</v>
      </c>
      <c r="I622" s="2">
        <f>INT(DATE($B$3,1,1) + (12+0.5)*365/50)</f>
        <v>0</v>
      </c>
      <c r="J622" s="2">
        <f>I622 - INT(ROUND($B$4 * 30.4375, 0) * (19+0.5)/50)</f>
        <v>0</v>
      </c>
      <c r="K622" s="4">
        <f>VLOOKUP(J622, '1_Rate_Changes'!$A$2:$C$100, 3, TRUE)</f>
        <v>0</v>
      </c>
    </row>
    <row r="623" spans="7:11">
      <c r="G623">
        <v>12</v>
      </c>
      <c r="H623">
        <v>20</v>
      </c>
      <c r="I623" s="2">
        <f>INT(DATE($B$3,1,1) + (12+0.5)*365/50)</f>
        <v>0</v>
      </c>
      <c r="J623" s="2">
        <f>I623 - INT(ROUND($B$4 * 30.4375, 0) * (20+0.5)/50)</f>
        <v>0</v>
      </c>
      <c r="K623" s="4">
        <f>VLOOKUP(J623, '1_Rate_Changes'!$A$2:$C$100, 3, TRUE)</f>
        <v>0</v>
      </c>
    </row>
    <row r="624" spans="7:11">
      <c r="G624">
        <v>12</v>
      </c>
      <c r="H624">
        <v>21</v>
      </c>
      <c r="I624" s="2">
        <f>INT(DATE($B$3,1,1) + (12+0.5)*365/50)</f>
        <v>0</v>
      </c>
      <c r="J624" s="2">
        <f>I624 - INT(ROUND($B$4 * 30.4375, 0) * (21+0.5)/50)</f>
        <v>0</v>
      </c>
      <c r="K624" s="4">
        <f>VLOOKUP(J624, '1_Rate_Changes'!$A$2:$C$100, 3, TRUE)</f>
        <v>0</v>
      </c>
    </row>
    <row r="625" spans="7:11">
      <c r="G625">
        <v>12</v>
      </c>
      <c r="H625">
        <v>22</v>
      </c>
      <c r="I625" s="2">
        <f>INT(DATE($B$3,1,1) + (12+0.5)*365/50)</f>
        <v>0</v>
      </c>
      <c r="J625" s="2">
        <f>I625 - INT(ROUND($B$4 * 30.4375, 0) * (22+0.5)/50)</f>
        <v>0</v>
      </c>
      <c r="K625" s="4">
        <f>VLOOKUP(J625, '1_Rate_Changes'!$A$2:$C$100, 3, TRUE)</f>
        <v>0</v>
      </c>
    </row>
    <row r="626" spans="7:11">
      <c r="G626">
        <v>12</v>
      </c>
      <c r="H626">
        <v>23</v>
      </c>
      <c r="I626" s="2">
        <f>INT(DATE($B$3,1,1) + (12+0.5)*365/50)</f>
        <v>0</v>
      </c>
      <c r="J626" s="2">
        <f>I626 - INT(ROUND($B$4 * 30.4375, 0) * (23+0.5)/50)</f>
        <v>0</v>
      </c>
      <c r="K626" s="4">
        <f>VLOOKUP(J626, '1_Rate_Changes'!$A$2:$C$100, 3, TRUE)</f>
        <v>0</v>
      </c>
    </row>
    <row r="627" spans="7:11">
      <c r="G627">
        <v>12</v>
      </c>
      <c r="H627">
        <v>24</v>
      </c>
      <c r="I627" s="2">
        <f>INT(DATE($B$3,1,1) + (12+0.5)*365/50)</f>
        <v>0</v>
      </c>
      <c r="J627" s="2">
        <f>I627 - INT(ROUND($B$4 * 30.4375, 0) * (24+0.5)/50)</f>
        <v>0</v>
      </c>
      <c r="K627" s="4">
        <f>VLOOKUP(J627, '1_Rate_Changes'!$A$2:$C$100, 3, TRUE)</f>
        <v>0</v>
      </c>
    </row>
    <row r="628" spans="7:11">
      <c r="G628">
        <v>12</v>
      </c>
      <c r="H628">
        <v>25</v>
      </c>
      <c r="I628" s="2">
        <f>INT(DATE($B$3,1,1) + (12+0.5)*365/50)</f>
        <v>0</v>
      </c>
      <c r="J628" s="2">
        <f>I628 - INT(ROUND($B$4 * 30.4375, 0) * (25+0.5)/50)</f>
        <v>0</v>
      </c>
      <c r="K628" s="4">
        <f>VLOOKUP(J628, '1_Rate_Changes'!$A$2:$C$100, 3, TRUE)</f>
        <v>0</v>
      </c>
    </row>
    <row r="629" spans="7:11">
      <c r="G629">
        <v>12</v>
      </c>
      <c r="H629">
        <v>26</v>
      </c>
      <c r="I629" s="2">
        <f>INT(DATE($B$3,1,1) + (12+0.5)*365/50)</f>
        <v>0</v>
      </c>
      <c r="J629" s="2">
        <f>I629 - INT(ROUND($B$4 * 30.4375, 0) * (26+0.5)/50)</f>
        <v>0</v>
      </c>
      <c r="K629" s="4">
        <f>VLOOKUP(J629, '1_Rate_Changes'!$A$2:$C$100, 3, TRUE)</f>
        <v>0</v>
      </c>
    </row>
    <row r="630" spans="7:11">
      <c r="G630">
        <v>12</v>
      </c>
      <c r="H630">
        <v>27</v>
      </c>
      <c r="I630" s="2">
        <f>INT(DATE($B$3,1,1) + (12+0.5)*365/50)</f>
        <v>0</v>
      </c>
      <c r="J630" s="2">
        <f>I630 - INT(ROUND($B$4 * 30.4375, 0) * (27+0.5)/50)</f>
        <v>0</v>
      </c>
      <c r="K630" s="4">
        <f>VLOOKUP(J630, '1_Rate_Changes'!$A$2:$C$100, 3, TRUE)</f>
        <v>0</v>
      </c>
    </row>
    <row r="631" spans="7:11">
      <c r="G631">
        <v>12</v>
      </c>
      <c r="H631">
        <v>28</v>
      </c>
      <c r="I631" s="2">
        <f>INT(DATE($B$3,1,1) + (12+0.5)*365/50)</f>
        <v>0</v>
      </c>
      <c r="J631" s="2">
        <f>I631 - INT(ROUND($B$4 * 30.4375, 0) * (28+0.5)/50)</f>
        <v>0</v>
      </c>
      <c r="K631" s="4">
        <f>VLOOKUP(J631, '1_Rate_Changes'!$A$2:$C$100, 3, TRUE)</f>
        <v>0</v>
      </c>
    </row>
    <row r="632" spans="7:11">
      <c r="G632">
        <v>12</v>
      </c>
      <c r="H632">
        <v>29</v>
      </c>
      <c r="I632" s="2">
        <f>INT(DATE($B$3,1,1) + (12+0.5)*365/50)</f>
        <v>0</v>
      </c>
      <c r="J632" s="2">
        <f>I632 - INT(ROUND($B$4 * 30.4375, 0) * (29+0.5)/50)</f>
        <v>0</v>
      </c>
      <c r="K632" s="4">
        <f>VLOOKUP(J632, '1_Rate_Changes'!$A$2:$C$100, 3, TRUE)</f>
        <v>0</v>
      </c>
    </row>
    <row r="633" spans="7:11">
      <c r="G633">
        <v>12</v>
      </c>
      <c r="H633">
        <v>30</v>
      </c>
      <c r="I633" s="2">
        <f>INT(DATE($B$3,1,1) + (12+0.5)*365/50)</f>
        <v>0</v>
      </c>
      <c r="J633" s="2">
        <f>I633 - INT(ROUND($B$4 * 30.4375, 0) * (30+0.5)/50)</f>
        <v>0</v>
      </c>
      <c r="K633" s="4">
        <f>VLOOKUP(J633, '1_Rate_Changes'!$A$2:$C$100, 3, TRUE)</f>
        <v>0</v>
      </c>
    </row>
    <row r="634" spans="7:11">
      <c r="G634">
        <v>12</v>
      </c>
      <c r="H634">
        <v>31</v>
      </c>
      <c r="I634" s="2">
        <f>INT(DATE($B$3,1,1) + (12+0.5)*365/50)</f>
        <v>0</v>
      </c>
      <c r="J634" s="2">
        <f>I634 - INT(ROUND($B$4 * 30.4375, 0) * (31+0.5)/50)</f>
        <v>0</v>
      </c>
      <c r="K634" s="4">
        <f>VLOOKUP(J634, '1_Rate_Changes'!$A$2:$C$100, 3, TRUE)</f>
        <v>0</v>
      </c>
    </row>
    <row r="635" spans="7:11">
      <c r="G635">
        <v>12</v>
      </c>
      <c r="H635">
        <v>32</v>
      </c>
      <c r="I635" s="2">
        <f>INT(DATE($B$3,1,1) + (12+0.5)*365/50)</f>
        <v>0</v>
      </c>
      <c r="J635" s="2">
        <f>I635 - INT(ROUND($B$4 * 30.4375, 0) * (32+0.5)/50)</f>
        <v>0</v>
      </c>
      <c r="K635" s="4">
        <f>VLOOKUP(J635, '1_Rate_Changes'!$A$2:$C$100, 3, TRUE)</f>
        <v>0</v>
      </c>
    </row>
    <row r="636" spans="7:11">
      <c r="G636">
        <v>12</v>
      </c>
      <c r="H636">
        <v>33</v>
      </c>
      <c r="I636" s="2">
        <f>INT(DATE($B$3,1,1) + (12+0.5)*365/50)</f>
        <v>0</v>
      </c>
      <c r="J636" s="2">
        <f>I636 - INT(ROUND($B$4 * 30.4375, 0) * (33+0.5)/50)</f>
        <v>0</v>
      </c>
      <c r="K636" s="4">
        <f>VLOOKUP(J636, '1_Rate_Changes'!$A$2:$C$100, 3, TRUE)</f>
        <v>0</v>
      </c>
    </row>
    <row r="637" spans="7:11">
      <c r="G637">
        <v>12</v>
      </c>
      <c r="H637">
        <v>34</v>
      </c>
      <c r="I637" s="2">
        <f>INT(DATE($B$3,1,1) + (12+0.5)*365/50)</f>
        <v>0</v>
      </c>
      <c r="J637" s="2">
        <f>I637 - INT(ROUND($B$4 * 30.4375, 0) * (34+0.5)/50)</f>
        <v>0</v>
      </c>
      <c r="K637" s="4">
        <f>VLOOKUP(J637, '1_Rate_Changes'!$A$2:$C$100, 3, TRUE)</f>
        <v>0</v>
      </c>
    </row>
    <row r="638" spans="7:11">
      <c r="G638">
        <v>12</v>
      </c>
      <c r="H638">
        <v>35</v>
      </c>
      <c r="I638" s="2">
        <f>INT(DATE($B$3,1,1) + (12+0.5)*365/50)</f>
        <v>0</v>
      </c>
      <c r="J638" s="2">
        <f>I638 - INT(ROUND($B$4 * 30.4375, 0) * (35+0.5)/50)</f>
        <v>0</v>
      </c>
      <c r="K638" s="4">
        <f>VLOOKUP(J638, '1_Rate_Changes'!$A$2:$C$100, 3, TRUE)</f>
        <v>0</v>
      </c>
    </row>
    <row r="639" spans="7:11">
      <c r="G639">
        <v>12</v>
      </c>
      <c r="H639">
        <v>36</v>
      </c>
      <c r="I639" s="2">
        <f>INT(DATE($B$3,1,1) + (12+0.5)*365/50)</f>
        <v>0</v>
      </c>
      <c r="J639" s="2">
        <f>I639 - INT(ROUND($B$4 * 30.4375, 0) * (36+0.5)/50)</f>
        <v>0</v>
      </c>
      <c r="K639" s="4">
        <f>VLOOKUP(J639, '1_Rate_Changes'!$A$2:$C$100, 3, TRUE)</f>
        <v>0</v>
      </c>
    </row>
    <row r="640" spans="7:11">
      <c r="G640">
        <v>12</v>
      </c>
      <c r="H640">
        <v>37</v>
      </c>
      <c r="I640" s="2">
        <f>INT(DATE($B$3,1,1) + (12+0.5)*365/50)</f>
        <v>0</v>
      </c>
      <c r="J640" s="2">
        <f>I640 - INT(ROUND($B$4 * 30.4375, 0) * (37+0.5)/50)</f>
        <v>0</v>
      </c>
      <c r="K640" s="4">
        <f>VLOOKUP(J640, '1_Rate_Changes'!$A$2:$C$100, 3, TRUE)</f>
        <v>0</v>
      </c>
    </row>
    <row r="641" spans="7:11">
      <c r="G641">
        <v>12</v>
      </c>
      <c r="H641">
        <v>38</v>
      </c>
      <c r="I641" s="2">
        <f>INT(DATE($B$3,1,1) + (12+0.5)*365/50)</f>
        <v>0</v>
      </c>
      <c r="J641" s="2">
        <f>I641 - INT(ROUND($B$4 * 30.4375, 0) * (38+0.5)/50)</f>
        <v>0</v>
      </c>
      <c r="K641" s="4">
        <f>VLOOKUP(J641, '1_Rate_Changes'!$A$2:$C$100, 3, TRUE)</f>
        <v>0</v>
      </c>
    </row>
    <row r="642" spans="7:11">
      <c r="G642">
        <v>12</v>
      </c>
      <c r="H642">
        <v>39</v>
      </c>
      <c r="I642" s="2">
        <f>INT(DATE($B$3,1,1) + (12+0.5)*365/50)</f>
        <v>0</v>
      </c>
      <c r="J642" s="2">
        <f>I642 - INT(ROUND($B$4 * 30.4375, 0) * (39+0.5)/50)</f>
        <v>0</v>
      </c>
      <c r="K642" s="4">
        <f>VLOOKUP(J642, '1_Rate_Changes'!$A$2:$C$100, 3, TRUE)</f>
        <v>0</v>
      </c>
    </row>
    <row r="643" spans="7:11">
      <c r="G643">
        <v>12</v>
      </c>
      <c r="H643">
        <v>40</v>
      </c>
      <c r="I643" s="2">
        <f>INT(DATE($B$3,1,1) + (12+0.5)*365/50)</f>
        <v>0</v>
      </c>
      <c r="J643" s="2">
        <f>I643 - INT(ROUND($B$4 * 30.4375, 0) * (40+0.5)/50)</f>
        <v>0</v>
      </c>
      <c r="K643" s="4">
        <f>VLOOKUP(J643, '1_Rate_Changes'!$A$2:$C$100, 3, TRUE)</f>
        <v>0</v>
      </c>
    </row>
    <row r="644" spans="7:11">
      <c r="G644">
        <v>12</v>
      </c>
      <c r="H644">
        <v>41</v>
      </c>
      <c r="I644" s="2">
        <f>INT(DATE($B$3,1,1) + (12+0.5)*365/50)</f>
        <v>0</v>
      </c>
      <c r="J644" s="2">
        <f>I644 - INT(ROUND($B$4 * 30.4375, 0) * (41+0.5)/50)</f>
        <v>0</v>
      </c>
      <c r="K644" s="4">
        <f>VLOOKUP(J644, '1_Rate_Changes'!$A$2:$C$100, 3, TRUE)</f>
        <v>0</v>
      </c>
    </row>
    <row r="645" spans="7:11">
      <c r="G645">
        <v>12</v>
      </c>
      <c r="H645">
        <v>42</v>
      </c>
      <c r="I645" s="2">
        <f>INT(DATE($B$3,1,1) + (12+0.5)*365/50)</f>
        <v>0</v>
      </c>
      <c r="J645" s="2">
        <f>I645 - INT(ROUND($B$4 * 30.4375, 0) * (42+0.5)/50)</f>
        <v>0</v>
      </c>
      <c r="K645" s="4">
        <f>VLOOKUP(J645, '1_Rate_Changes'!$A$2:$C$100, 3, TRUE)</f>
        <v>0</v>
      </c>
    </row>
    <row r="646" spans="7:11">
      <c r="G646">
        <v>12</v>
      </c>
      <c r="H646">
        <v>43</v>
      </c>
      <c r="I646" s="2">
        <f>INT(DATE($B$3,1,1) + (12+0.5)*365/50)</f>
        <v>0</v>
      </c>
      <c r="J646" s="2">
        <f>I646 - INT(ROUND($B$4 * 30.4375, 0) * (43+0.5)/50)</f>
        <v>0</v>
      </c>
      <c r="K646" s="4">
        <f>VLOOKUP(J646, '1_Rate_Changes'!$A$2:$C$100, 3, TRUE)</f>
        <v>0</v>
      </c>
    </row>
    <row r="647" spans="7:11">
      <c r="G647">
        <v>12</v>
      </c>
      <c r="H647">
        <v>44</v>
      </c>
      <c r="I647" s="2">
        <f>INT(DATE($B$3,1,1) + (12+0.5)*365/50)</f>
        <v>0</v>
      </c>
      <c r="J647" s="2">
        <f>I647 - INT(ROUND($B$4 * 30.4375, 0) * (44+0.5)/50)</f>
        <v>0</v>
      </c>
      <c r="K647" s="4">
        <f>VLOOKUP(J647, '1_Rate_Changes'!$A$2:$C$100, 3, TRUE)</f>
        <v>0</v>
      </c>
    </row>
    <row r="648" spans="7:11">
      <c r="G648">
        <v>12</v>
      </c>
      <c r="H648">
        <v>45</v>
      </c>
      <c r="I648" s="2">
        <f>INT(DATE($B$3,1,1) + (12+0.5)*365/50)</f>
        <v>0</v>
      </c>
      <c r="J648" s="2">
        <f>I648 - INT(ROUND($B$4 * 30.4375, 0) * (45+0.5)/50)</f>
        <v>0</v>
      </c>
      <c r="K648" s="4">
        <f>VLOOKUP(J648, '1_Rate_Changes'!$A$2:$C$100, 3, TRUE)</f>
        <v>0</v>
      </c>
    </row>
    <row r="649" spans="7:11">
      <c r="G649">
        <v>12</v>
      </c>
      <c r="H649">
        <v>46</v>
      </c>
      <c r="I649" s="2">
        <f>INT(DATE($B$3,1,1) + (12+0.5)*365/50)</f>
        <v>0</v>
      </c>
      <c r="J649" s="2">
        <f>I649 - INT(ROUND($B$4 * 30.4375, 0) * (46+0.5)/50)</f>
        <v>0</v>
      </c>
      <c r="K649" s="4">
        <f>VLOOKUP(J649, '1_Rate_Changes'!$A$2:$C$100, 3, TRUE)</f>
        <v>0</v>
      </c>
    </row>
    <row r="650" spans="7:11">
      <c r="G650">
        <v>12</v>
      </c>
      <c r="H650">
        <v>47</v>
      </c>
      <c r="I650" s="2">
        <f>INT(DATE($B$3,1,1) + (12+0.5)*365/50)</f>
        <v>0</v>
      </c>
      <c r="J650" s="2">
        <f>I650 - INT(ROUND($B$4 * 30.4375, 0) * (47+0.5)/50)</f>
        <v>0</v>
      </c>
      <c r="K650" s="4">
        <f>VLOOKUP(J650, '1_Rate_Changes'!$A$2:$C$100, 3, TRUE)</f>
        <v>0</v>
      </c>
    </row>
    <row r="651" spans="7:11">
      <c r="G651">
        <v>12</v>
      </c>
      <c r="H651">
        <v>48</v>
      </c>
      <c r="I651" s="2">
        <f>INT(DATE($B$3,1,1) + (12+0.5)*365/50)</f>
        <v>0</v>
      </c>
      <c r="J651" s="2">
        <f>I651 - INT(ROUND($B$4 * 30.4375, 0) * (48+0.5)/50)</f>
        <v>0</v>
      </c>
      <c r="K651" s="4">
        <f>VLOOKUP(J651, '1_Rate_Changes'!$A$2:$C$100, 3, TRUE)</f>
        <v>0</v>
      </c>
    </row>
    <row r="652" spans="7:11">
      <c r="G652">
        <v>12</v>
      </c>
      <c r="H652">
        <v>49</v>
      </c>
      <c r="I652" s="2">
        <f>INT(DATE($B$3,1,1) + (12+0.5)*365/50)</f>
        <v>0</v>
      </c>
      <c r="J652" s="2">
        <f>I652 - INT(ROUND($B$4 * 30.4375, 0) * (49+0.5)/50)</f>
        <v>0</v>
      </c>
      <c r="K652" s="4">
        <f>VLOOKUP(J652, '1_Rate_Changes'!$A$2:$C$100, 3, TRUE)</f>
        <v>0</v>
      </c>
    </row>
    <row r="653" spans="7:11">
      <c r="G653">
        <v>13</v>
      </c>
      <c r="H653">
        <v>0</v>
      </c>
      <c r="I653" s="2">
        <f>INT(DATE($B$3,1,1) + (13+0.5)*365/50)</f>
        <v>0</v>
      </c>
      <c r="J653" s="2">
        <f>I653 - INT(ROUND($B$4 * 30.4375, 0) * (0+0.5)/50)</f>
        <v>0</v>
      </c>
      <c r="K653" s="4">
        <f>VLOOKUP(J653, '1_Rate_Changes'!$A$2:$C$100, 3, TRUE)</f>
        <v>0</v>
      </c>
    </row>
    <row r="654" spans="7:11">
      <c r="G654">
        <v>13</v>
      </c>
      <c r="H654">
        <v>1</v>
      </c>
      <c r="I654" s="2">
        <f>INT(DATE($B$3,1,1) + (13+0.5)*365/50)</f>
        <v>0</v>
      </c>
      <c r="J654" s="2">
        <f>I654 - INT(ROUND($B$4 * 30.4375, 0) * (1+0.5)/50)</f>
        <v>0</v>
      </c>
      <c r="K654" s="4">
        <f>VLOOKUP(J654, '1_Rate_Changes'!$A$2:$C$100, 3, TRUE)</f>
        <v>0</v>
      </c>
    </row>
    <row r="655" spans="7:11">
      <c r="G655">
        <v>13</v>
      </c>
      <c r="H655">
        <v>2</v>
      </c>
      <c r="I655" s="2">
        <f>INT(DATE($B$3,1,1) + (13+0.5)*365/50)</f>
        <v>0</v>
      </c>
      <c r="J655" s="2">
        <f>I655 - INT(ROUND($B$4 * 30.4375, 0) * (2+0.5)/50)</f>
        <v>0</v>
      </c>
      <c r="K655" s="4">
        <f>VLOOKUP(J655, '1_Rate_Changes'!$A$2:$C$100, 3, TRUE)</f>
        <v>0</v>
      </c>
    </row>
    <row r="656" spans="7:11">
      <c r="G656">
        <v>13</v>
      </c>
      <c r="H656">
        <v>3</v>
      </c>
      <c r="I656" s="2">
        <f>INT(DATE($B$3,1,1) + (13+0.5)*365/50)</f>
        <v>0</v>
      </c>
      <c r="J656" s="2">
        <f>I656 - INT(ROUND($B$4 * 30.4375, 0) * (3+0.5)/50)</f>
        <v>0</v>
      </c>
      <c r="K656" s="4">
        <f>VLOOKUP(J656, '1_Rate_Changes'!$A$2:$C$100, 3, TRUE)</f>
        <v>0</v>
      </c>
    </row>
    <row r="657" spans="7:11">
      <c r="G657">
        <v>13</v>
      </c>
      <c r="H657">
        <v>4</v>
      </c>
      <c r="I657" s="2">
        <f>INT(DATE($B$3,1,1) + (13+0.5)*365/50)</f>
        <v>0</v>
      </c>
      <c r="J657" s="2">
        <f>I657 - INT(ROUND($B$4 * 30.4375, 0) * (4+0.5)/50)</f>
        <v>0</v>
      </c>
      <c r="K657" s="4">
        <f>VLOOKUP(J657, '1_Rate_Changes'!$A$2:$C$100, 3, TRUE)</f>
        <v>0</v>
      </c>
    </row>
    <row r="658" spans="7:11">
      <c r="G658">
        <v>13</v>
      </c>
      <c r="H658">
        <v>5</v>
      </c>
      <c r="I658" s="2">
        <f>INT(DATE($B$3,1,1) + (13+0.5)*365/50)</f>
        <v>0</v>
      </c>
      <c r="J658" s="2">
        <f>I658 - INT(ROUND($B$4 * 30.4375, 0) * (5+0.5)/50)</f>
        <v>0</v>
      </c>
      <c r="K658" s="4">
        <f>VLOOKUP(J658, '1_Rate_Changes'!$A$2:$C$100, 3, TRUE)</f>
        <v>0</v>
      </c>
    </row>
    <row r="659" spans="7:11">
      <c r="G659">
        <v>13</v>
      </c>
      <c r="H659">
        <v>6</v>
      </c>
      <c r="I659" s="2">
        <f>INT(DATE($B$3,1,1) + (13+0.5)*365/50)</f>
        <v>0</v>
      </c>
      <c r="J659" s="2">
        <f>I659 - INT(ROUND($B$4 * 30.4375, 0) * (6+0.5)/50)</f>
        <v>0</v>
      </c>
      <c r="K659" s="4">
        <f>VLOOKUP(J659, '1_Rate_Changes'!$A$2:$C$100, 3, TRUE)</f>
        <v>0</v>
      </c>
    </row>
    <row r="660" spans="7:11">
      <c r="G660">
        <v>13</v>
      </c>
      <c r="H660">
        <v>7</v>
      </c>
      <c r="I660" s="2">
        <f>INT(DATE($B$3,1,1) + (13+0.5)*365/50)</f>
        <v>0</v>
      </c>
      <c r="J660" s="2">
        <f>I660 - INT(ROUND($B$4 * 30.4375, 0) * (7+0.5)/50)</f>
        <v>0</v>
      </c>
      <c r="K660" s="4">
        <f>VLOOKUP(J660, '1_Rate_Changes'!$A$2:$C$100, 3, TRUE)</f>
        <v>0</v>
      </c>
    </row>
    <row r="661" spans="7:11">
      <c r="G661">
        <v>13</v>
      </c>
      <c r="H661">
        <v>8</v>
      </c>
      <c r="I661" s="2">
        <f>INT(DATE($B$3,1,1) + (13+0.5)*365/50)</f>
        <v>0</v>
      </c>
      <c r="J661" s="2">
        <f>I661 - INT(ROUND($B$4 * 30.4375, 0) * (8+0.5)/50)</f>
        <v>0</v>
      </c>
      <c r="K661" s="4">
        <f>VLOOKUP(J661, '1_Rate_Changes'!$A$2:$C$100, 3, TRUE)</f>
        <v>0</v>
      </c>
    </row>
    <row r="662" spans="7:11">
      <c r="G662">
        <v>13</v>
      </c>
      <c r="H662">
        <v>9</v>
      </c>
      <c r="I662" s="2">
        <f>INT(DATE($B$3,1,1) + (13+0.5)*365/50)</f>
        <v>0</v>
      </c>
      <c r="J662" s="2">
        <f>I662 - INT(ROUND($B$4 * 30.4375, 0) * (9+0.5)/50)</f>
        <v>0</v>
      </c>
      <c r="K662" s="4">
        <f>VLOOKUP(J662, '1_Rate_Changes'!$A$2:$C$100, 3, TRUE)</f>
        <v>0</v>
      </c>
    </row>
    <row r="663" spans="7:11">
      <c r="G663">
        <v>13</v>
      </c>
      <c r="H663">
        <v>10</v>
      </c>
      <c r="I663" s="2">
        <f>INT(DATE($B$3,1,1) + (13+0.5)*365/50)</f>
        <v>0</v>
      </c>
      <c r="J663" s="2">
        <f>I663 - INT(ROUND($B$4 * 30.4375, 0) * (10+0.5)/50)</f>
        <v>0</v>
      </c>
      <c r="K663" s="4">
        <f>VLOOKUP(J663, '1_Rate_Changes'!$A$2:$C$100, 3, TRUE)</f>
        <v>0</v>
      </c>
    </row>
    <row r="664" spans="7:11">
      <c r="G664">
        <v>13</v>
      </c>
      <c r="H664">
        <v>11</v>
      </c>
      <c r="I664" s="2">
        <f>INT(DATE($B$3,1,1) + (13+0.5)*365/50)</f>
        <v>0</v>
      </c>
      <c r="J664" s="2">
        <f>I664 - INT(ROUND($B$4 * 30.4375, 0) * (11+0.5)/50)</f>
        <v>0</v>
      </c>
      <c r="K664" s="4">
        <f>VLOOKUP(J664, '1_Rate_Changes'!$A$2:$C$100, 3, TRUE)</f>
        <v>0</v>
      </c>
    </row>
    <row r="665" spans="7:11">
      <c r="G665">
        <v>13</v>
      </c>
      <c r="H665">
        <v>12</v>
      </c>
      <c r="I665" s="2">
        <f>INT(DATE($B$3,1,1) + (13+0.5)*365/50)</f>
        <v>0</v>
      </c>
      <c r="J665" s="2">
        <f>I665 - INT(ROUND($B$4 * 30.4375, 0) * (12+0.5)/50)</f>
        <v>0</v>
      </c>
      <c r="K665" s="4">
        <f>VLOOKUP(J665, '1_Rate_Changes'!$A$2:$C$100, 3, TRUE)</f>
        <v>0</v>
      </c>
    </row>
    <row r="666" spans="7:11">
      <c r="G666">
        <v>13</v>
      </c>
      <c r="H666">
        <v>13</v>
      </c>
      <c r="I666" s="2">
        <f>INT(DATE($B$3,1,1) + (13+0.5)*365/50)</f>
        <v>0</v>
      </c>
      <c r="J666" s="2">
        <f>I666 - INT(ROUND($B$4 * 30.4375, 0) * (13+0.5)/50)</f>
        <v>0</v>
      </c>
      <c r="K666" s="4">
        <f>VLOOKUP(J666, '1_Rate_Changes'!$A$2:$C$100, 3, TRUE)</f>
        <v>0</v>
      </c>
    </row>
    <row r="667" spans="7:11">
      <c r="G667">
        <v>13</v>
      </c>
      <c r="H667">
        <v>14</v>
      </c>
      <c r="I667" s="2">
        <f>INT(DATE($B$3,1,1) + (13+0.5)*365/50)</f>
        <v>0</v>
      </c>
      <c r="J667" s="2">
        <f>I667 - INT(ROUND($B$4 * 30.4375, 0) * (14+0.5)/50)</f>
        <v>0</v>
      </c>
      <c r="K667" s="4">
        <f>VLOOKUP(J667, '1_Rate_Changes'!$A$2:$C$100, 3, TRUE)</f>
        <v>0</v>
      </c>
    </row>
    <row r="668" spans="7:11">
      <c r="G668">
        <v>13</v>
      </c>
      <c r="H668">
        <v>15</v>
      </c>
      <c r="I668" s="2">
        <f>INT(DATE($B$3,1,1) + (13+0.5)*365/50)</f>
        <v>0</v>
      </c>
      <c r="J668" s="2">
        <f>I668 - INT(ROUND($B$4 * 30.4375, 0) * (15+0.5)/50)</f>
        <v>0</v>
      </c>
      <c r="K668" s="4">
        <f>VLOOKUP(J668, '1_Rate_Changes'!$A$2:$C$100, 3, TRUE)</f>
        <v>0</v>
      </c>
    </row>
    <row r="669" spans="7:11">
      <c r="G669">
        <v>13</v>
      </c>
      <c r="H669">
        <v>16</v>
      </c>
      <c r="I669" s="2">
        <f>INT(DATE($B$3,1,1) + (13+0.5)*365/50)</f>
        <v>0</v>
      </c>
      <c r="J669" s="2">
        <f>I669 - INT(ROUND($B$4 * 30.4375, 0) * (16+0.5)/50)</f>
        <v>0</v>
      </c>
      <c r="K669" s="4">
        <f>VLOOKUP(J669, '1_Rate_Changes'!$A$2:$C$100, 3, TRUE)</f>
        <v>0</v>
      </c>
    </row>
    <row r="670" spans="7:11">
      <c r="G670">
        <v>13</v>
      </c>
      <c r="H670">
        <v>17</v>
      </c>
      <c r="I670" s="2">
        <f>INT(DATE($B$3,1,1) + (13+0.5)*365/50)</f>
        <v>0</v>
      </c>
      <c r="J670" s="2">
        <f>I670 - INT(ROUND($B$4 * 30.4375, 0) * (17+0.5)/50)</f>
        <v>0</v>
      </c>
      <c r="K670" s="4">
        <f>VLOOKUP(J670, '1_Rate_Changes'!$A$2:$C$100, 3, TRUE)</f>
        <v>0</v>
      </c>
    </row>
    <row r="671" spans="7:11">
      <c r="G671">
        <v>13</v>
      </c>
      <c r="H671">
        <v>18</v>
      </c>
      <c r="I671" s="2">
        <f>INT(DATE($B$3,1,1) + (13+0.5)*365/50)</f>
        <v>0</v>
      </c>
      <c r="J671" s="2">
        <f>I671 - INT(ROUND($B$4 * 30.4375, 0) * (18+0.5)/50)</f>
        <v>0</v>
      </c>
      <c r="K671" s="4">
        <f>VLOOKUP(J671, '1_Rate_Changes'!$A$2:$C$100, 3, TRUE)</f>
        <v>0</v>
      </c>
    </row>
    <row r="672" spans="7:11">
      <c r="G672">
        <v>13</v>
      </c>
      <c r="H672">
        <v>19</v>
      </c>
      <c r="I672" s="2">
        <f>INT(DATE($B$3,1,1) + (13+0.5)*365/50)</f>
        <v>0</v>
      </c>
      <c r="J672" s="2">
        <f>I672 - INT(ROUND($B$4 * 30.4375, 0) * (19+0.5)/50)</f>
        <v>0</v>
      </c>
      <c r="K672" s="4">
        <f>VLOOKUP(J672, '1_Rate_Changes'!$A$2:$C$100, 3, TRUE)</f>
        <v>0</v>
      </c>
    </row>
    <row r="673" spans="7:11">
      <c r="G673">
        <v>13</v>
      </c>
      <c r="H673">
        <v>20</v>
      </c>
      <c r="I673" s="2">
        <f>INT(DATE($B$3,1,1) + (13+0.5)*365/50)</f>
        <v>0</v>
      </c>
      <c r="J673" s="2">
        <f>I673 - INT(ROUND($B$4 * 30.4375, 0) * (20+0.5)/50)</f>
        <v>0</v>
      </c>
      <c r="K673" s="4">
        <f>VLOOKUP(J673, '1_Rate_Changes'!$A$2:$C$100, 3, TRUE)</f>
        <v>0</v>
      </c>
    </row>
    <row r="674" spans="7:11">
      <c r="G674">
        <v>13</v>
      </c>
      <c r="H674">
        <v>21</v>
      </c>
      <c r="I674" s="2">
        <f>INT(DATE($B$3,1,1) + (13+0.5)*365/50)</f>
        <v>0</v>
      </c>
      <c r="J674" s="2">
        <f>I674 - INT(ROUND($B$4 * 30.4375, 0) * (21+0.5)/50)</f>
        <v>0</v>
      </c>
      <c r="K674" s="4">
        <f>VLOOKUP(J674, '1_Rate_Changes'!$A$2:$C$100, 3, TRUE)</f>
        <v>0</v>
      </c>
    </row>
    <row r="675" spans="7:11">
      <c r="G675">
        <v>13</v>
      </c>
      <c r="H675">
        <v>22</v>
      </c>
      <c r="I675" s="2">
        <f>INT(DATE($B$3,1,1) + (13+0.5)*365/50)</f>
        <v>0</v>
      </c>
      <c r="J675" s="2">
        <f>I675 - INT(ROUND($B$4 * 30.4375, 0) * (22+0.5)/50)</f>
        <v>0</v>
      </c>
      <c r="K675" s="4">
        <f>VLOOKUP(J675, '1_Rate_Changes'!$A$2:$C$100, 3, TRUE)</f>
        <v>0</v>
      </c>
    </row>
    <row r="676" spans="7:11">
      <c r="G676">
        <v>13</v>
      </c>
      <c r="H676">
        <v>23</v>
      </c>
      <c r="I676" s="2">
        <f>INT(DATE($B$3,1,1) + (13+0.5)*365/50)</f>
        <v>0</v>
      </c>
      <c r="J676" s="2">
        <f>I676 - INT(ROUND($B$4 * 30.4375, 0) * (23+0.5)/50)</f>
        <v>0</v>
      </c>
      <c r="K676" s="4">
        <f>VLOOKUP(J676, '1_Rate_Changes'!$A$2:$C$100, 3, TRUE)</f>
        <v>0</v>
      </c>
    </row>
    <row r="677" spans="7:11">
      <c r="G677">
        <v>13</v>
      </c>
      <c r="H677">
        <v>24</v>
      </c>
      <c r="I677" s="2">
        <f>INT(DATE($B$3,1,1) + (13+0.5)*365/50)</f>
        <v>0</v>
      </c>
      <c r="J677" s="2">
        <f>I677 - INT(ROUND($B$4 * 30.4375, 0) * (24+0.5)/50)</f>
        <v>0</v>
      </c>
      <c r="K677" s="4">
        <f>VLOOKUP(J677, '1_Rate_Changes'!$A$2:$C$100, 3, TRUE)</f>
        <v>0</v>
      </c>
    </row>
    <row r="678" spans="7:11">
      <c r="G678">
        <v>13</v>
      </c>
      <c r="H678">
        <v>25</v>
      </c>
      <c r="I678" s="2">
        <f>INT(DATE($B$3,1,1) + (13+0.5)*365/50)</f>
        <v>0</v>
      </c>
      <c r="J678" s="2">
        <f>I678 - INT(ROUND($B$4 * 30.4375, 0) * (25+0.5)/50)</f>
        <v>0</v>
      </c>
      <c r="K678" s="4">
        <f>VLOOKUP(J678, '1_Rate_Changes'!$A$2:$C$100, 3, TRUE)</f>
        <v>0</v>
      </c>
    </row>
    <row r="679" spans="7:11">
      <c r="G679">
        <v>13</v>
      </c>
      <c r="H679">
        <v>26</v>
      </c>
      <c r="I679" s="2">
        <f>INT(DATE($B$3,1,1) + (13+0.5)*365/50)</f>
        <v>0</v>
      </c>
      <c r="J679" s="2">
        <f>I679 - INT(ROUND($B$4 * 30.4375, 0) * (26+0.5)/50)</f>
        <v>0</v>
      </c>
      <c r="K679" s="4">
        <f>VLOOKUP(J679, '1_Rate_Changes'!$A$2:$C$100, 3, TRUE)</f>
        <v>0</v>
      </c>
    </row>
    <row r="680" spans="7:11">
      <c r="G680">
        <v>13</v>
      </c>
      <c r="H680">
        <v>27</v>
      </c>
      <c r="I680" s="2">
        <f>INT(DATE($B$3,1,1) + (13+0.5)*365/50)</f>
        <v>0</v>
      </c>
      <c r="J680" s="2">
        <f>I680 - INT(ROUND($B$4 * 30.4375, 0) * (27+0.5)/50)</f>
        <v>0</v>
      </c>
      <c r="K680" s="4">
        <f>VLOOKUP(J680, '1_Rate_Changes'!$A$2:$C$100, 3, TRUE)</f>
        <v>0</v>
      </c>
    </row>
    <row r="681" spans="7:11">
      <c r="G681">
        <v>13</v>
      </c>
      <c r="H681">
        <v>28</v>
      </c>
      <c r="I681" s="2">
        <f>INT(DATE($B$3,1,1) + (13+0.5)*365/50)</f>
        <v>0</v>
      </c>
      <c r="J681" s="2">
        <f>I681 - INT(ROUND($B$4 * 30.4375, 0) * (28+0.5)/50)</f>
        <v>0</v>
      </c>
      <c r="K681" s="4">
        <f>VLOOKUP(J681, '1_Rate_Changes'!$A$2:$C$100, 3, TRUE)</f>
        <v>0</v>
      </c>
    </row>
    <row r="682" spans="7:11">
      <c r="G682">
        <v>13</v>
      </c>
      <c r="H682">
        <v>29</v>
      </c>
      <c r="I682" s="2">
        <f>INT(DATE($B$3,1,1) + (13+0.5)*365/50)</f>
        <v>0</v>
      </c>
      <c r="J682" s="2">
        <f>I682 - INT(ROUND($B$4 * 30.4375, 0) * (29+0.5)/50)</f>
        <v>0</v>
      </c>
      <c r="K682" s="4">
        <f>VLOOKUP(J682, '1_Rate_Changes'!$A$2:$C$100, 3, TRUE)</f>
        <v>0</v>
      </c>
    </row>
    <row r="683" spans="7:11">
      <c r="G683">
        <v>13</v>
      </c>
      <c r="H683">
        <v>30</v>
      </c>
      <c r="I683" s="2">
        <f>INT(DATE($B$3,1,1) + (13+0.5)*365/50)</f>
        <v>0</v>
      </c>
      <c r="J683" s="2">
        <f>I683 - INT(ROUND($B$4 * 30.4375, 0) * (30+0.5)/50)</f>
        <v>0</v>
      </c>
      <c r="K683" s="4">
        <f>VLOOKUP(J683, '1_Rate_Changes'!$A$2:$C$100, 3, TRUE)</f>
        <v>0</v>
      </c>
    </row>
    <row r="684" spans="7:11">
      <c r="G684">
        <v>13</v>
      </c>
      <c r="H684">
        <v>31</v>
      </c>
      <c r="I684" s="2">
        <f>INT(DATE($B$3,1,1) + (13+0.5)*365/50)</f>
        <v>0</v>
      </c>
      <c r="J684" s="2">
        <f>I684 - INT(ROUND($B$4 * 30.4375, 0) * (31+0.5)/50)</f>
        <v>0</v>
      </c>
      <c r="K684" s="4">
        <f>VLOOKUP(J684, '1_Rate_Changes'!$A$2:$C$100, 3, TRUE)</f>
        <v>0</v>
      </c>
    </row>
    <row r="685" spans="7:11">
      <c r="G685">
        <v>13</v>
      </c>
      <c r="H685">
        <v>32</v>
      </c>
      <c r="I685" s="2">
        <f>INT(DATE($B$3,1,1) + (13+0.5)*365/50)</f>
        <v>0</v>
      </c>
      <c r="J685" s="2">
        <f>I685 - INT(ROUND($B$4 * 30.4375, 0) * (32+0.5)/50)</f>
        <v>0</v>
      </c>
      <c r="K685" s="4">
        <f>VLOOKUP(J685, '1_Rate_Changes'!$A$2:$C$100, 3, TRUE)</f>
        <v>0</v>
      </c>
    </row>
    <row r="686" spans="7:11">
      <c r="G686">
        <v>13</v>
      </c>
      <c r="H686">
        <v>33</v>
      </c>
      <c r="I686" s="2">
        <f>INT(DATE($B$3,1,1) + (13+0.5)*365/50)</f>
        <v>0</v>
      </c>
      <c r="J686" s="2">
        <f>I686 - INT(ROUND($B$4 * 30.4375, 0) * (33+0.5)/50)</f>
        <v>0</v>
      </c>
      <c r="K686" s="4">
        <f>VLOOKUP(J686, '1_Rate_Changes'!$A$2:$C$100, 3, TRUE)</f>
        <v>0</v>
      </c>
    </row>
    <row r="687" spans="7:11">
      <c r="G687">
        <v>13</v>
      </c>
      <c r="H687">
        <v>34</v>
      </c>
      <c r="I687" s="2">
        <f>INT(DATE($B$3,1,1) + (13+0.5)*365/50)</f>
        <v>0</v>
      </c>
      <c r="J687" s="2">
        <f>I687 - INT(ROUND($B$4 * 30.4375, 0) * (34+0.5)/50)</f>
        <v>0</v>
      </c>
      <c r="K687" s="4">
        <f>VLOOKUP(J687, '1_Rate_Changes'!$A$2:$C$100, 3, TRUE)</f>
        <v>0</v>
      </c>
    </row>
    <row r="688" spans="7:11">
      <c r="G688">
        <v>13</v>
      </c>
      <c r="H688">
        <v>35</v>
      </c>
      <c r="I688" s="2">
        <f>INT(DATE($B$3,1,1) + (13+0.5)*365/50)</f>
        <v>0</v>
      </c>
      <c r="J688" s="2">
        <f>I688 - INT(ROUND($B$4 * 30.4375, 0) * (35+0.5)/50)</f>
        <v>0</v>
      </c>
      <c r="K688" s="4">
        <f>VLOOKUP(J688, '1_Rate_Changes'!$A$2:$C$100, 3, TRUE)</f>
        <v>0</v>
      </c>
    </row>
    <row r="689" spans="7:11">
      <c r="G689">
        <v>13</v>
      </c>
      <c r="H689">
        <v>36</v>
      </c>
      <c r="I689" s="2">
        <f>INT(DATE($B$3,1,1) + (13+0.5)*365/50)</f>
        <v>0</v>
      </c>
      <c r="J689" s="2">
        <f>I689 - INT(ROUND($B$4 * 30.4375, 0) * (36+0.5)/50)</f>
        <v>0</v>
      </c>
      <c r="K689" s="4">
        <f>VLOOKUP(J689, '1_Rate_Changes'!$A$2:$C$100, 3, TRUE)</f>
        <v>0</v>
      </c>
    </row>
    <row r="690" spans="7:11">
      <c r="G690">
        <v>13</v>
      </c>
      <c r="H690">
        <v>37</v>
      </c>
      <c r="I690" s="2">
        <f>INT(DATE($B$3,1,1) + (13+0.5)*365/50)</f>
        <v>0</v>
      </c>
      <c r="J690" s="2">
        <f>I690 - INT(ROUND($B$4 * 30.4375, 0) * (37+0.5)/50)</f>
        <v>0</v>
      </c>
      <c r="K690" s="4">
        <f>VLOOKUP(J690, '1_Rate_Changes'!$A$2:$C$100, 3, TRUE)</f>
        <v>0</v>
      </c>
    </row>
    <row r="691" spans="7:11">
      <c r="G691">
        <v>13</v>
      </c>
      <c r="H691">
        <v>38</v>
      </c>
      <c r="I691" s="2">
        <f>INT(DATE($B$3,1,1) + (13+0.5)*365/50)</f>
        <v>0</v>
      </c>
      <c r="J691" s="2">
        <f>I691 - INT(ROUND($B$4 * 30.4375, 0) * (38+0.5)/50)</f>
        <v>0</v>
      </c>
      <c r="K691" s="4">
        <f>VLOOKUP(J691, '1_Rate_Changes'!$A$2:$C$100, 3, TRUE)</f>
        <v>0</v>
      </c>
    </row>
    <row r="692" spans="7:11">
      <c r="G692">
        <v>13</v>
      </c>
      <c r="H692">
        <v>39</v>
      </c>
      <c r="I692" s="2">
        <f>INT(DATE($B$3,1,1) + (13+0.5)*365/50)</f>
        <v>0</v>
      </c>
      <c r="J692" s="2">
        <f>I692 - INT(ROUND($B$4 * 30.4375, 0) * (39+0.5)/50)</f>
        <v>0</v>
      </c>
      <c r="K692" s="4">
        <f>VLOOKUP(J692, '1_Rate_Changes'!$A$2:$C$100, 3, TRUE)</f>
        <v>0</v>
      </c>
    </row>
    <row r="693" spans="7:11">
      <c r="G693">
        <v>13</v>
      </c>
      <c r="H693">
        <v>40</v>
      </c>
      <c r="I693" s="2">
        <f>INT(DATE($B$3,1,1) + (13+0.5)*365/50)</f>
        <v>0</v>
      </c>
      <c r="J693" s="2">
        <f>I693 - INT(ROUND($B$4 * 30.4375, 0) * (40+0.5)/50)</f>
        <v>0</v>
      </c>
      <c r="K693" s="4">
        <f>VLOOKUP(J693, '1_Rate_Changes'!$A$2:$C$100, 3, TRUE)</f>
        <v>0</v>
      </c>
    </row>
    <row r="694" spans="7:11">
      <c r="G694">
        <v>13</v>
      </c>
      <c r="H694">
        <v>41</v>
      </c>
      <c r="I694" s="2">
        <f>INT(DATE($B$3,1,1) + (13+0.5)*365/50)</f>
        <v>0</v>
      </c>
      <c r="J694" s="2">
        <f>I694 - INT(ROUND($B$4 * 30.4375, 0) * (41+0.5)/50)</f>
        <v>0</v>
      </c>
      <c r="K694" s="4">
        <f>VLOOKUP(J694, '1_Rate_Changes'!$A$2:$C$100, 3, TRUE)</f>
        <v>0</v>
      </c>
    </row>
    <row r="695" spans="7:11">
      <c r="G695">
        <v>13</v>
      </c>
      <c r="H695">
        <v>42</v>
      </c>
      <c r="I695" s="2">
        <f>INT(DATE($B$3,1,1) + (13+0.5)*365/50)</f>
        <v>0</v>
      </c>
      <c r="J695" s="2">
        <f>I695 - INT(ROUND($B$4 * 30.4375, 0) * (42+0.5)/50)</f>
        <v>0</v>
      </c>
      <c r="K695" s="4">
        <f>VLOOKUP(J695, '1_Rate_Changes'!$A$2:$C$100, 3, TRUE)</f>
        <v>0</v>
      </c>
    </row>
    <row r="696" spans="7:11">
      <c r="G696">
        <v>13</v>
      </c>
      <c r="H696">
        <v>43</v>
      </c>
      <c r="I696" s="2">
        <f>INT(DATE($B$3,1,1) + (13+0.5)*365/50)</f>
        <v>0</v>
      </c>
      <c r="J696" s="2">
        <f>I696 - INT(ROUND($B$4 * 30.4375, 0) * (43+0.5)/50)</f>
        <v>0</v>
      </c>
      <c r="K696" s="4">
        <f>VLOOKUP(J696, '1_Rate_Changes'!$A$2:$C$100, 3, TRUE)</f>
        <v>0</v>
      </c>
    </row>
    <row r="697" spans="7:11">
      <c r="G697">
        <v>13</v>
      </c>
      <c r="H697">
        <v>44</v>
      </c>
      <c r="I697" s="2">
        <f>INT(DATE($B$3,1,1) + (13+0.5)*365/50)</f>
        <v>0</v>
      </c>
      <c r="J697" s="2">
        <f>I697 - INT(ROUND($B$4 * 30.4375, 0) * (44+0.5)/50)</f>
        <v>0</v>
      </c>
      <c r="K697" s="4">
        <f>VLOOKUP(J697, '1_Rate_Changes'!$A$2:$C$100, 3, TRUE)</f>
        <v>0</v>
      </c>
    </row>
    <row r="698" spans="7:11">
      <c r="G698">
        <v>13</v>
      </c>
      <c r="H698">
        <v>45</v>
      </c>
      <c r="I698" s="2">
        <f>INT(DATE($B$3,1,1) + (13+0.5)*365/50)</f>
        <v>0</v>
      </c>
      <c r="J698" s="2">
        <f>I698 - INT(ROUND($B$4 * 30.4375, 0) * (45+0.5)/50)</f>
        <v>0</v>
      </c>
      <c r="K698" s="4">
        <f>VLOOKUP(J698, '1_Rate_Changes'!$A$2:$C$100, 3, TRUE)</f>
        <v>0</v>
      </c>
    </row>
    <row r="699" spans="7:11">
      <c r="G699">
        <v>13</v>
      </c>
      <c r="H699">
        <v>46</v>
      </c>
      <c r="I699" s="2">
        <f>INT(DATE($B$3,1,1) + (13+0.5)*365/50)</f>
        <v>0</v>
      </c>
      <c r="J699" s="2">
        <f>I699 - INT(ROUND($B$4 * 30.4375, 0) * (46+0.5)/50)</f>
        <v>0</v>
      </c>
      <c r="K699" s="4">
        <f>VLOOKUP(J699, '1_Rate_Changes'!$A$2:$C$100, 3, TRUE)</f>
        <v>0</v>
      </c>
    </row>
    <row r="700" spans="7:11">
      <c r="G700">
        <v>13</v>
      </c>
      <c r="H700">
        <v>47</v>
      </c>
      <c r="I700" s="2">
        <f>INT(DATE($B$3,1,1) + (13+0.5)*365/50)</f>
        <v>0</v>
      </c>
      <c r="J700" s="2">
        <f>I700 - INT(ROUND($B$4 * 30.4375, 0) * (47+0.5)/50)</f>
        <v>0</v>
      </c>
      <c r="K700" s="4">
        <f>VLOOKUP(J700, '1_Rate_Changes'!$A$2:$C$100, 3, TRUE)</f>
        <v>0</v>
      </c>
    </row>
    <row r="701" spans="7:11">
      <c r="G701">
        <v>13</v>
      </c>
      <c r="H701">
        <v>48</v>
      </c>
      <c r="I701" s="2">
        <f>INT(DATE($B$3,1,1) + (13+0.5)*365/50)</f>
        <v>0</v>
      </c>
      <c r="J701" s="2">
        <f>I701 - INT(ROUND($B$4 * 30.4375, 0) * (48+0.5)/50)</f>
        <v>0</v>
      </c>
      <c r="K701" s="4">
        <f>VLOOKUP(J701, '1_Rate_Changes'!$A$2:$C$100, 3, TRUE)</f>
        <v>0</v>
      </c>
    </row>
    <row r="702" spans="7:11">
      <c r="G702">
        <v>13</v>
      </c>
      <c r="H702">
        <v>49</v>
      </c>
      <c r="I702" s="2">
        <f>INT(DATE($B$3,1,1) + (13+0.5)*365/50)</f>
        <v>0</v>
      </c>
      <c r="J702" s="2">
        <f>I702 - INT(ROUND($B$4 * 30.4375, 0) * (49+0.5)/50)</f>
        <v>0</v>
      </c>
      <c r="K702" s="4">
        <f>VLOOKUP(J702, '1_Rate_Changes'!$A$2:$C$100, 3, TRUE)</f>
        <v>0</v>
      </c>
    </row>
    <row r="703" spans="7:11">
      <c r="G703">
        <v>14</v>
      </c>
      <c r="H703">
        <v>0</v>
      </c>
      <c r="I703" s="2">
        <f>INT(DATE($B$3,1,1) + (14+0.5)*365/50)</f>
        <v>0</v>
      </c>
      <c r="J703" s="2">
        <f>I703 - INT(ROUND($B$4 * 30.4375, 0) * (0+0.5)/50)</f>
        <v>0</v>
      </c>
      <c r="K703" s="4">
        <f>VLOOKUP(J703, '1_Rate_Changes'!$A$2:$C$100, 3, TRUE)</f>
        <v>0</v>
      </c>
    </row>
    <row r="704" spans="7:11">
      <c r="G704">
        <v>14</v>
      </c>
      <c r="H704">
        <v>1</v>
      </c>
      <c r="I704" s="2">
        <f>INT(DATE($B$3,1,1) + (14+0.5)*365/50)</f>
        <v>0</v>
      </c>
      <c r="J704" s="2">
        <f>I704 - INT(ROUND($B$4 * 30.4375, 0) * (1+0.5)/50)</f>
        <v>0</v>
      </c>
      <c r="K704" s="4">
        <f>VLOOKUP(J704, '1_Rate_Changes'!$A$2:$C$100, 3, TRUE)</f>
        <v>0</v>
      </c>
    </row>
    <row r="705" spans="7:11">
      <c r="G705">
        <v>14</v>
      </c>
      <c r="H705">
        <v>2</v>
      </c>
      <c r="I705" s="2">
        <f>INT(DATE($B$3,1,1) + (14+0.5)*365/50)</f>
        <v>0</v>
      </c>
      <c r="J705" s="2">
        <f>I705 - INT(ROUND($B$4 * 30.4375, 0) * (2+0.5)/50)</f>
        <v>0</v>
      </c>
      <c r="K705" s="4">
        <f>VLOOKUP(J705, '1_Rate_Changes'!$A$2:$C$100, 3, TRUE)</f>
        <v>0</v>
      </c>
    </row>
    <row r="706" spans="7:11">
      <c r="G706">
        <v>14</v>
      </c>
      <c r="H706">
        <v>3</v>
      </c>
      <c r="I706" s="2">
        <f>INT(DATE($B$3,1,1) + (14+0.5)*365/50)</f>
        <v>0</v>
      </c>
      <c r="J706" s="2">
        <f>I706 - INT(ROUND($B$4 * 30.4375, 0) * (3+0.5)/50)</f>
        <v>0</v>
      </c>
      <c r="K706" s="4">
        <f>VLOOKUP(J706, '1_Rate_Changes'!$A$2:$C$100, 3, TRUE)</f>
        <v>0</v>
      </c>
    </row>
    <row r="707" spans="7:11">
      <c r="G707">
        <v>14</v>
      </c>
      <c r="H707">
        <v>4</v>
      </c>
      <c r="I707" s="2">
        <f>INT(DATE($B$3,1,1) + (14+0.5)*365/50)</f>
        <v>0</v>
      </c>
      <c r="J707" s="2">
        <f>I707 - INT(ROUND($B$4 * 30.4375, 0) * (4+0.5)/50)</f>
        <v>0</v>
      </c>
      <c r="K707" s="4">
        <f>VLOOKUP(J707, '1_Rate_Changes'!$A$2:$C$100, 3, TRUE)</f>
        <v>0</v>
      </c>
    </row>
    <row r="708" spans="7:11">
      <c r="G708">
        <v>14</v>
      </c>
      <c r="H708">
        <v>5</v>
      </c>
      <c r="I708" s="2">
        <f>INT(DATE($B$3,1,1) + (14+0.5)*365/50)</f>
        <v>0</v>
      </c>
      <c r="J708" s="2">
        <f>I708 - INT(ROUND($B$4 * 30.4375, 0) * (5+0.5)/50)</f>
        <v>0</v>
      </c>
      <c r="K708" s="4">
        <f>VLOOKUP(J708, '1_Rate_Changes'!$A$2:$C$100, 3, TRUE)</f>
        <v>0</v>
      </c>
    </row>
    <row r="709" spans="7:11">
      <c r="G709">
        <v>14</v>
      </c>
      <c r="H709">
        <v>6</v>
      </c>
      <c r="I709" s="2">
        <f>INT(DATE($B$3,1,1) + (14+0.5)*365/50)</f>
        <v>0</v>
      </c>
      <c r="J709" s="2">
        <f>I709 - INT(ROUND($B$4 * 30.4375, 0) * (6+0.5)/50)</f>
        <v>0</v>
      </c>
      <c r="K709" s="4">
        <f>VLOOKUP(J709, '1_Rate_Changes'!$A$2:$C$100, 3, TRUE)</f>
        <v>0</v>
      </c>
    </row>
    <row r="710" spans="7:11">
      <c r="G710">
        <v>14</v>
      </c>
      <c r="H710">
        <v>7</v>
      </c>
      <c r="I710" s="2">
        <f>INT(DATE($B$3,1,1) + (14+0.5)*365/50)</f>
        <v>0</v>
      </c>
      <c r="J710" s="2">
        <f>I710 - INT(ROUND($B$4 * 30.4375, 0) * (7+0.5)/50)</f>
        <v>0</v>
      </c>
      <c r="K710" s="4">
        <f>VLOOKUP(J710, '1_Rate_Changes'!$A$2:$C$100, 3, TRUE)</f>
        <v>0</v>
      </c>
    </row>
    <row r="711" spans="7:11">
      <c r="G711">
        <v>14</v>
      </c>
      <c r="H711">
        <v>8</v>
      </c>
      <c r="I711" s="2">
        <f>INT(DATE($B$3,1,1) + (14+0.5)*365/50)</f>
        <v>0</v>
      </c>
      <c r="J711" s="2">
        <f>I711 - INT(ROUND($B$4 * 30.4375, 0) * (8+0.5)/50)</f>
        <v>0</v>
      </c>
      <c r="K711" s="4">
        <f>VLOOKUP(J711, '1_Rate_Changes'!$A$2:$C$100, 3, TRUE)</f>
        <v>0</v>
      </c>
    </row>
    <row r="712" spans="7:11">
      <c r="G712">
        <v>14</v>
      </c>
      <c r="H712">
        <v>9</v>
      </c>
      <c r="I712" s="2">
        <f>INT(DATE($B$3,1,1) + (14+0.5)*365/50)</f>
        <v>0</v>
      </c>
      <c r="J712" s="2">
        <f>I712 - INT(ROUND($B$4 * 30.4375, 0) * (9+0.5)/50)</f>
        <v>0</v>
      </c>
      <c r="K712" s="4">
        <f>VLOOKUP(J712, '1_Rate_Changes'!$A$2:$C$100, 3, TRUE)</f>
        <v>0</v>
      </c>
    </row>
    <row r="713" spans="7:11">
      <c r="G713">
        <v>14</v>
      </c>
      <c r="H713">
        <v>10</v>
      </c>
      <c r="I713" s="2">
        <f>INT(DATE($B$3,1,1) + (14+0.5)*365/50)</f>
        <v>0</v>
      </c>
      <c r="J713" s="2">
        <f>I713 - INT(ROUND($B$4 * 30.4375, 0) * (10+0.5)/50)</f>
        <v>0</v>
      </c>
      <c r="K713" s="4">
        <f>VLOOKUP(J713, '1_Rate_Changes'!$A$2:$C$100, 3, TRUE)</f>
        <v>0</v>
      </c>
    </row>
    <row r="714" spans="7:11">
      <c r="G714">
        <v>14</v>
      </c>
      <c r="H714">
        <v>11</v>
      </c>
      <c r="I714" s="2">
        <f>INT(DATE($B$3,1,1) + (14+0.5)*365/50)</f>
        <v>0</v>
      </c>
      <c r="J714" s="2">
        <f>I714 - INT(ROUND($B$4 * 30.4375, 0) * (11+0.5)/50)</f>
        <v>0</v>
      </c>
      <c r="K714" s="4">
        <f>VLOOKUP(J714, '1_Rate_Changes'!$A$2:$C$100, 3, TRUE)</f>
        <v>0</v>
      </c>
    </row>
    <row r="715" spans="7:11">
      <c r="G715">
        <v>14</v>
      </c>
      <c r="H715">
        <v>12</v>
      </c>
      <c r="I715" s="2">
        <f>INT(DATE($B$3,1,1) + (14+0.5)*365/50)</f>
        <v>0</v>
      </c>
      <c r="J715" s="2">
        <f>I715 - INT(ROUND($B$4 * 30.4375, 0) * (12+0.5)/50)</f>
        <v>0</v>
      </c>
      <c r="K715" s="4">
        <f>VLOOKUP(J715, '1_Rate_Changes'!$A$2:$C$100, 3, TRUE)</f>
        <v>0</v>
      </c>
    </row>
    <row r="716" spans="7:11">
      <c r="G716">
        <v>14</v>
      </c>
      <c r="H716">
        <v>13</v>
      </c>
      <c r="I716" s="2">
        <f>INT(DATE($B$3,1,1) + (14+0.5)*365/50)</f>
        <v>0</v>
      </c>
      <c r="J716" s="2">
        <f>I716 - INT(ROUND($B$4 * 30.4375, 0) * (13+0.5)/50)</f>
        <v>0</v>
      </c>
      <c r="K716" s="4">
        <f>VLOOKUP(J716, '1_Rate_Changes'!$A$2:$C$100, 3, TRUE)</f>
        <v>0</v>
      </c>
    </row>
    <row r="717" spans="7:11">
      <c r="G717">
        <v>14</v>
      </c>
      <c r="H717">
        <v>14</v>
      </c>
      <c r="I717" s="2">
        <f>INT(DATE($B$3,1,1) + (14+0.5)*365/50)</f>
        <v>0</v>
      </c>
      <c r="J717" s="2">
        <f>I717 - INT(ROUND($B$4 * 30.4375, 0) * (14+0.5)/50)</f>
        <v>0</v>
      </c>
      <c r="K717" s="4">
        <f>VLOOKUP(J717, '1_Rate_Changes'!$A$2:$C$100, 3, TRUE)</f>
        <v>0</v>
      </c>
    </row>
    <row r="718" spans="7:11">
      <c r="G718">
        <v>14</v>
      </c>
      <c r="H718">
        <v>15</v>
      </c>
      <c r="I718" s="2">
        <f>INT(DATE($B$3,1,1) + (14+0.5)*365/50)</f>
        <v>0</v>
      </c>
      <c r="J718" s="2">
        <f>I718 - INT(ROUND($B$4 * 30.4375, 0) * (15+0.5)/50)</f>
        <v>0</v>
      </c>
      <c r="K718" s="4">
        <f>VLOOKUP(J718, '1_Rate_Changes'!$A$2:$C$100, 3, TRUE)</f>
        <v>0</v>
      </c>
    </row>
    <row r="719" spans="7:11">
      <c r="G719">
        <v>14</v>
      </c>
      <c r="H719">
        <v>16</v>
      </c>
      <c r="I719" s="2">
        <f>INT(DATE($B$3,1,1) + (14+0.5)*365/50)</f>
        <v>0</v>
      </c>
      <c r="J719" s="2">
        <f>I719 - INT(ROUND($B$4 * 30.4375, 0) * (16+0.5)/50)</f>
        <v>0</v>
      </c>
      <c r="K719" s="4">
        <f>VLOOKUP(J719, '1_Rate_Changes'!$A$2:$C$100, 3, TRUE)</f>
        <v>0</v>
      </c>
    </row>
    <row r="720" spans="7:11">
      <c r="G720">
        <v>14</v>
      </c>
      <c r="H720">
        <v>17</v>
      </c>
      <c r="I720" s="2">
        <f>INT(DATE($B$3,1,1) + (14+0.5)*365/50)</f>
        <v>0</v>
      </c>
      <c r="J720" s="2">
        <f>I720 - INT(ROUND($B$4 * 30.4375, 0) * (17+0.5)/50)</f>
        <v>0</v>
      </c>
      <c r="K720" s="4">
        <f>VLOOKUP(J720, '1_Rate_Changes'!$A$2:$C$100, 3, TRUE)</f>
        <v>0</v>
      </c>
    </row>
    <row r="721" spans="7:11">
      <c r="G721">
        <v>14</v>
      </c>
      <c r="H721">
        <v>18</v>
      </c>
      <c r="I721" s="2">
        <f>INT(DATE($B$3,1,1) + (14+0.5)*365/50)</f>
        <v>0</v>
      </c>
      <c r="J721" s="2">
        <f>I721 - INT(ROUND($B$4 * 30.4375, 0) * (18+0.5)/50)</f>
        <v>0</v>
      </c>
      <c r="K721" s="4">
        <f>VLOOKUP(J721, '1_Rate_Changes'!$A$2:$C$100, 3, TRUE)</f>
        <v>0</v>
      </c>
    </row>
    <row r="722" spans="7:11">
      <c r="G722">
        <v>14</v>
      </c>
      <c r="H722">
        <v>19</v>
      </c>
      <c r="I722" s="2">
        <f>INT(DATE($B$3,1,1) + (14+0.5)*365/50)</f>
        <v>0</v>
      </c>
      <c r="J722" s="2">
        <f>I722 - INT(ROUND($B$4 * 30.4375, 0) * (19+0.5)/50)</f>
        <v>0</v>
      </c>
      <c r="K722" s="4">
        <f>VLOOKUP(J722, '1_Rate_Changes'!$A$2:$C$100, 3, TRUE)</f>
        <v>0</v>
      </c>
    </row>
    <row r="723" spans="7:11">
      <c r="G723">
        <v>14</v>
      </c>
      <c r="H723">
        <v>20</v>
      </c>
      <c r="I723" s="2">
        <f>INT(DATE($B$3,1,1) + (14+0.5)*365/50)</f>
        <v>0</v>
      </c>
      <c r="J723" s="2">
        <f>I723 - INT(ROUND($B$4 * 30.4375, 0) * (20+0.5)/50)</f>
        <v>0</v>
      </c>
      <c r="K723" s="4">
        <f>VLOOKUP(J723, '1_Rate_Changes'!$A$2:$C$100, 3, TRUE)</f>
        <v>0</v>
      </c>
    </row>
    <row r="724" spans="7:11">
      <c r="G724">
        <v>14</v>
      </c>
      <c r="H724">
        <v>21</v>
      </c>
      <c r="I724" s="2">
        <f>INT(DATE($B$3,1,1) + (14+0.5)*365/50)</f>
        <v>0</v>
      </c>
      <c r="J724" s="2">
        <f>I724 - INT(ROUND($B$4 * 30.4375, 0) * (21+0.5)/50)</f>
        <v>0</v>
      </c>
      <c r="K724" s="4">
        <f>VLOOKUP(J724, '1_Rate_Changes'!$A$2:$C$100, 3, TRUE)</f>
        <v>0</v>
      </c>
    </row>
    <row r="725" spans="7:11">
      <c r="G725">
        <v>14</v>
      </c>
      <c r="H725">
        <v>22</v>
      </c>
      <c r="I725" s="2">
        <f>INT(DATE($B$3,1,1) + (14+0.5)*365/50)</f>
        <v>0</v>
      </c>
      <c r="J725" s="2">
        <f>I725 - INT(ROUND($B$4 * 30.4375, 0) * (22+0.5)/50)</f>
        <v>0</v>
      </c>
      <c r="K725" s="4">
        <f>VLOOKUP(J725, '1_Rate_Changes'!$A$2:$C$100, 3, TRUE)</f>
        <v>0</v>
      </c>
    </row>
    <row r="726" spans="7:11">
      <c r="G726">
        <v>14</v>
      </c>
      <c r="H726">
        <v>23</v>
      </c>
      <c r="I726" s="2">
        <f>INT(DATE($B$3,1,1) + (14+0.5)*365/50)</f>
        <v>0</v>
      </c>
      <c r="J726" s="2">
        <f>I726 - INT(ROUND($B$4 * 30.4375, 0) * (23+0.5)/50)</f>
        <v>0</v>
      </c>
      <c r="K726" s="4">
        <f>VLOOKUP(J726, '1_Rate_Changes'!$A$2:$C$100, 3, TRUE)</f>
        <v>0</v>
      </c>
    </row>
    <row r="727" spans="7:11">
      <c r="G727">
        <v>14</v>
      </c>
      <c r="H727">
        <v>24</v>
      </c>
      <c r="I727" s="2">
        <f>INT(DATE($B$3,1,1) + (14+0.5)*365/50)</f>
        <v>0</v>
      </c>
      <c r="J727" s="2">
        <f>I727 - INT(ROUND($B$4 * 30.4375, 0) * (24+0.5)/50)</f>
        <v>0</v>
      </c>
      <c r="K727" s="4">
        <f>VLOOKUP(J727, '1_Rate_Changes'!$A$2:$C$100, 3, TRUE)</f>
        <v>0</v>
      </c>
    </row>
    <row r="728" spans="7:11">
      <c r="G728">
        <v>14</v>
      </c>
      <c r="H728">
        <v>25</v>
      </c>
      <c r="I728" s="2">
        <f>INT(DATE($B$3,1,1) + (14+0.5)*365/50)</f>
        <v>0</v>
      </c>
      <c r="J728" s="2">
        <f>I728 - INT(ROUND($B$4 * 30.4375, 0) * (25+0.5)/50)</f>
        <v>0</v>
      </c>
      <c r="K728" s="4">
        <f>VLOOKUP(J728, '1_Rate_Changes'!$A$2:$C$100, 3, TRUE)</f>
        <v>0</v>
      </c>
    </row>
    <row r="729" spans="7:11">
      <c r="G729">
        <v>14</v>
      </c>
      <c r="H729">
        <v>26</v>
      </c>
      <c r="I729" s="2">
        <f>INT(DATE($B$3,1,1) + (14+0.5)*365/50)</f>
        <v>0</v>
      </c>
      <c r="J729" s="2">
        <f>I729 - INT(ROUND($B$4 * 30.4375, 0) * (26+0.5)/50)</f>
        <v>0</v>
      </c>
      <c r="K729" s="4">
        <f>VLOOKUP(J729, '1_Rate_Changes'!$A$2:$C$100, 3, TRUE)</f>
        <v>0</v>
      </c>
    </row>
    <row r="730" spans="7:11">
      <c r="G730">
        <v>14</v>
      </c>
      <c r="H730">
        <v>27</v>
      </c>
      <c r="I730" s="2">
        <f>INT(DATE($B$3,1,1) + (14+0.5)*365/50)</f>
        <v>0</v>
      </c>
      <c r="J730" s="2">
        <f>I730 - INT(ROUND($B$4 * 30.4375, 0) * (27+0.5)/50)</f>
        <v>0</v>
      </c>
      <c r="K730" s="4">
        <f>VLOOKUP(J730, '1_Rate_Changes'!$A$2:$C$100, 3, TRUE)</f>
        <v>0</v>
      </c>
    </row>
    <row r="731" spans="7:11">
      <c r="G731">
        <v>14</v>
      </c>
      <c r="H731">
        <v>28</v>
      </c>
      <c r="I731" s="2">
        <f>INT(DATE($B$3,1,1) + (14+0.5)*365/50)</f>
        <v>0</v>
      </c>
      <c r="J731" s="2">
        <f>I731 - INT(ROUND($B$4 * 30.4375, 0) * (28+0.5)/50)</f>
        <v>0</v>
      </c>
      <c r="K731" s="4">
        <f>VLOOKUP(J731, '1_Rate_Changes'!$A$2:$C$100, 3, TRUE)</f>
        <v>0</v>
      </c>
    </row>
    <row r="732" spans="7:11">
      <c r="G732">
        <v>14</v>
      </c>
      <c r="H732">
        <v>29</v>
      </c>
      <c r="I732" s="2">
        <f>INT(DATE($B$3,1,1) + (14+0.5)*365/50)</f>
        <v>0</v>
      </c>
      <c r="J732" s="2">
        <f>I732 - INT(ROUND($B$4 * 30.4375, 0) * (29+0.5)/50)</f>
        <v>0</v>
      </c>
      <c r="K732" s="4">
        <f>VLOOKUP(J732, '1_Rate_Changes'!$A$2:$C$100, 3, TRUE)</f>
        <v>0</v>
      </c>
    </row>
    <row r="733" spans="7:11">
      <c r="G733">
        <v>14</v>
      </c>
      <c r="H733">
        <v>30</v>
      </c>
      <c r="I733" s="2">
        <f>INT(DATE($B$3,1,1) + (14+0.5)*365/50)</f>
        <v>0</v>
      </c>
      <c r="J733" s="2">
        <f>I733 - INT(ROUND($B$4 * 30.4375, 0) * (30+0.5)/50)</f>
        <v>0</v>
      </c>
      <c r="K733" s="4">
        <f>VLOOKUP(J733, '1_Rate_Changes'!$A$2:$C$100, 3, TRUE)</f>
        <v>0</v>
      </c>
    </row>
    <row r="734" spans="7:11">
      <c r="G734">
        <v>14</v>
      </c>
      <c r="H734">
        <v>31</v>
      </c>
      <c r="I734" s="2">
        <f>INT(DATE($B$3,1,1) + (14+0.5)*365/50)</f>
        <v>0</v>
      </c>
      <c r="J734" s="2">
        <f>I734 - INT(ROUND($B$4 * 30.4375, 0) * (31+0.5)/50)</f>
        <v>0</v>
      </c>
      <c r="K734" s="4">
        <f>VLOOKUP(J734, '1_Rate_Changes'!$A$2:$C$100, 3, TRUE)</f>
        <v>0</v>
      </c>
    </row>
    <row r="735" spans="7:11">
      <c r="G735">
        <v>14</v>
      </c>
      <c r="H735">
        <v>32</v>
      </c>
      <c r="I735" s="2">
        <f>INT(DATE($B$3,1,1) + (14+0.5)*365/50)</f>
        <v>0</v>
      </c>
      <c r="J735" s="2">
        <f>I735 - INT(ROUND($B$4 * 30.4375, 0) * (32+0.5)/50)</f>
        <v>0</v>
      </c>
      <c r="K735" s="4">
        <f>VLOOKUP(J735, '1_Rate_Changes'!$A$2:$C$100, 3, TRUE)</f>
        <v>0</v>
      </c>
    </row>
    <row r="736" spans="7:11">
      <c r="G736">
        <v>14</v>
      </c>
      <c r="H736">
        <v>33</v>
      </c>
      <c r="I736" s="2">
        <f>INT(DATE($B$3,1,1) + (14+0.5)*365/50)</f>
        <v>0</v>
      </c>
      <c r="J736" s="2">
        <f>I736 - INT(ROUND($B$4 * 30.4375, 0) * (33+0.5)/50)</f>
        <v>0</v>
      </c>
      <c r="K736" s="4">
        <f>VLOOKUP(J736, '1_Rate_Changes'!$A$2:$C$100, 3, TRUE)</f>
        <v>0</v>
      </c>
    </row>
    <row r="737" spans="7:11">
      <c r="G737">
        <v>14</v>
      </c>
      <c r="H737">
        <v>34</v>
      </c>
      <c r="I737" s="2">
        <f>INT(DATE($B$3,1,1) + (14+0.5)*365/50)</f>
        <v>0</v>
      </c>
      <c r="J737" s="2">
        <f>I737 - INT(ROUND($B$4 * 30.4375, 0) * (34+0.5)/50)</f>
        <v>0</v>
      </c>
      <c r="K737" s="4">
        <f>VLOOKUP(J737, '1_Rate_Changes'!$A$2:$C$100, 3, TRUE)</f>
        <v>0</v>
      </c>
    </row>
    <row r="738" spans="7:11">
      <c r="G738">
        <v>14</v>
      </c>
      <c r="H738">
        <v>35</v>
      </c>
      <c r="I738" s="2">
        <f>INT(DATE($B$3,1,1) + (14+0.5)*365/50)</f>
        <v>0</v>
      </c>
      <c r="J738" s="2">
        <f>I738 - INT(ROUND($B$4 * 30.4375, 0) * (35+0.5)/50)</f>
        <v>0</v>
      </c>
      <c r="K738" s="4">
        <f>VLOOKUP(J738, '1_Rate_Changes'!$A$2:$C$100, 3, TRUE)</f>
        <v>0</v>
      </c>
    </row>
    <row r="739" spans="7:11">
      <c r="G739">
        <v>14</v>
      </c>
      <c r="H739">
        <v>36</v>
      </c>
      <c r="I739" s="2">
        <f>INT(DATE($B$3,1,1) + (14+0.5)*365/50)</f>
        <v>0</v>
      </c>
      <c r="J739" s="2">
        <f>I739 - INT(ROUND($B$4 * 30.4375, 0) * (36+0.5)/50)</f>
        <v>0</v>
      </c>
      <c r="K739" s="4">
        <f>VLOOKUP(J739, '1_Rate_Changes'!$A$2:$C$100, 3, TRUE)</f>
        <v>0</v>
      </c>
    </row>
    <row r="740" spans="7:11">
      <c r="G740">
        <v>14</v>
      </c>
      <c r="H740">
        <v>37</v>
      </c>
      <c r="I740" s="2">
        <f>INT(DATE($B$3,1,1) + (14+0.5)*365/50)</f>
        <v>0</v>
      </c>
      <c r="J740" s="2">
        <f>I740 - INT(ROUND($B$4 * 30.4375, 0) * (37+0.5)/50)</f>
        <v>0</v>
      </c>
      <c r="K740" s="4">
        <f>VLOOKUP(J740, '1_Rate_Changes'!$A$2:$C$100, 3, TRUE)</f>
        <v>0</v>
      </c>
    </row>
    <row r="741" spans="7:11">
      <c r="G741">
        <v>14</v>
      </c>
      <c r="H741">
        <v>38</v>
      </c>
      <c r="I741" s="2">
        <f>INT(DATE($B$3,1,1) + (14+0.5)*365/50)</f>
        <v>0</v>
      </c>
      <c r="J741" s="2">
        <f>I741 - INT(ROUND($B$4 * 30.4375, 0) * (38+0.5)/50)</f>
        <v>0</v>
      </c>
      <c r="K741" s="4">
        <f>VLOOKUP(J741, '1_Rate_Changes'!$A$2:$C$100, 3, TRUE)</f>
        <v>0</v>
      </c>
    </row>
    <row r="742" spans="7:11">
      <c r="G742">
        <v>14</v>
      </c>
      <c r="H742">
        <v>39</v>
      </c>
      <c r="I742" s="2">
        <f>INT(DATE($B$3,1,1) + (14+0.5)*365/50)</f>
        <v>0</v>
      </c>
      <c r="J742" s="2">
        <f>I742 - INT(ROUND($B$4 * 30.4375, 0) * (39+0.5)/50)</f>
        <v>0</v>
      </c>
      <c r="K742" s="4">
        <f>VLOOKUP(J742, '1_Rate_Changes'!$A$2:$C$100, 3, TRUE)</f>
        <v>0</v>
      </c>
    </row>
    <row r="743" spans="7:11">
      <c r="G743">
        <v>14</v>
      </c>
      <c r="H743">
        <v>40</v>
      </c>
      <c r="I743" s="2">
        <f>INT(DATE($B$3,1,1) + (14+0.5)*365/50)</f>
        <v>0</v>
      </c>
      <c r="J743" s="2">
        <f>I743 - INT(ROUND($B$4 * 30.4375, 0) * (40+0.5)/50)</f>
        <v>0</v>
      </c>
      <c r="K743" s="4">
        <f>VLOOKUP(J743, '1_Rate_Changes'!$A$2:$C$100, 3, TRUE)</f>
        <v>0</v>
      </c>
    </row>
    <row r="744" spans="7:11">
      <c r="G744">
        <v>14</v>
      </c>
      <c r="H744">
        <v>41</v>
      </c>
      <c r="I744" s="2">
        <f>INT(DATE($B$3,1,1) + (14+0.5)*365/50)</f>
        <v>0</v>
      </c>
      <c r="J744" s="2">
        <f>I744 - INT(ROUND($B$4 * 30.4375, 0) * (41+0.5)/50)</f>
        <v>0</v>
      </c>
      <c r="K744" s="4">
        <f>VLOOKUP(J744, '1_Rate_Changes'!$A$2:$C$100, 3, TRUE)</f>
        <v>0</v>
      </c>
    </row>
    <row r="745" spans="7:11">
      <c r="G745">
        <v>14</v>
      </c>
      <c r="H745">
        <v>42</v>
      </c>
      <c r="I745" s="2">
        <f>INT(DATE($B$3,1,1) + (14+0.5)*365/50)</f>
        <v>0</v>
      </c>
      <c r="J745" s="2">
        <f>I745 - INT(ROUND($B$4 * 30.4375, 0) * (42+0.5)/50)</f>
        <v>0</v>
      </c>
      <c r="K745" s="4">
        <f>VLOOKUP(J745, '1_Rate_Changes'!$A$2:$C$100, 3, TRUE)</f>
        <v>0</v>
      </c>
    </row>
    <row r="746" spans="7:11">
      <c r="G746">
        <v>14</v>
      </c>
      <c r="H746">
        <v>43</v>
      </c>
      <c r="I746" s="2">
        <f>INT(DATE($B$3,1,1) + (14+0.5)*365/50)</f>
        <v>0</v>
      </c>
      <c r="J746" s="2">
        <f>I746 - INT(ROUND($B$4 * 30.4375, 0) * (43+0.5)/50)</f>
        <v>0</v>
      </c>
      <c r="K746" s="4">
        <f>VLOOKUP(J746, '1_Rate_Changes'!$A$2:$C$100, 3, TRUE)</f>
        <v>0</v>
      </c>
    </row>
    <row r="747" spans="7:11">
      <c r="G747">
        <v>14</v>
      </c>
      <c r="H747">
        <v>44</v>
      </c>
      <c r="I747" s="2">
        <f>INT(DATE($B$3,1,1) + (14+0.5)*365/50)</f>
        <v>0</v>
      </c>
      <c r="J747" s="2">
        <f>I747 - INT(ROUND($B$4 * 30.4375, 0) * (44+0.5)/50)</f>
        <v>0</v>
      </c>
      <c r="K747" s="4">
        <f>VLOOKUP(J747, '1_Rate_Changes'!$A$2:$C$100, 3, TRUE)</f>
        <v>0</v>
      </c>
    </row>
    <row r="748" spans="7:11">
      <c r="G748">
        <v>14</v>
      </c>
      <c r="H748">
        <v>45</v>
      </c>
      <c r="I748" s="2">
        <f>INT(DATE($B$3,1,1) + (14+0.5)*365/50)</f>
        <v>0</v>
      </c>
      <c r="J748" s="2">
        <f>I748 - INT(ROUND($B$4 * 30.4375, 0) * (45+0.5)/50)</f>
        <v>0</v>
      </c>
      <c r="K748" s="4">
        <f>VLOOKUP(J748, '1_Rate_Changes'!$A$2:$C$100, 3, TRUE)</f>
        <v>0</v>
      </c>
    </row>
    <row r="749" spans="7:11">
      <c r="G749">
        <v>14</v>
      </c>
      <c r="H749">
        <v>46</v>
      </c>
      <c r="I749" s="2">
        <f>INT(DATE($B$3,1,1) + (14+0.5)*365/50)</f>
        <v>0</v>
      </c>
      <c r="J749" s="2">
        <f>I749 - INT(ROUND($B$4 * 30.4375, 0) * (46+0.5)/50)</f>
        <v>0</v>
      </c>
      <c r="K749" s="4">
        <f>VLOOKUP(J749, '1_Rate_Changes'!$A$2:$C$100, 3, TRUE)</f>
        <v>0</v>
      </c>
    </row>
    <row r="750" spans="7:11">
      <c r="G750">
        <v>14</v>
      </c>
      <c r="H750">
        <v>47</v>
      </c>
      <c r="I750" s="2">
        <f>INT(DATE($B$3,1,1) + (14+0.5)*365/50)</f>
        <v>0</v>
      </c>
      <c r="J750" s="2">
        <f>I750 - INT(ROUND($B$4 * 30.4375, 0) * (47+0.5)/50)</f>
        <v>0</v>
      </c>
      <c r="K750" s="4">
        <f>VLOOKUP(J750, '1_Rate_Changes'!$A$2:$C$100, 3, TRUE)</f>
        <v>0</v>
      </c>
    </row>
    <row r="751" spans="7:11">
      <c r="G751">
        <v>14</v>
      </c>
      <c r="H751">
        <v>48</v>
      </c>
      <c r="I751" s="2">
        <f>INT(DATE($B$3,1,1) + (14+0.5)*365/50)</f>
        <v>0</v>
      </c>
      <c r="J751" s="2">
        <f>I751 - INT(ROUND($B$4 * 30.4375, 0) * (48+0.5)/50)</f>
        <v>0</v>
      </c>
      <c r="K751" s="4">
        <f>VLOOKUP(J751, '1_Rate_Changes'!$A$2:$C$100, 3, TRUE)</f>
        <v>0</v>
      </c>
    </row>
    <row r="752" spans="7:11">
      <c r="G752">
        <v>14</v>
      </c>
      <c r="H752">
        <v>49</v>
      </c>
      <c r="I752" s="2">
        <f>INT(DATE($B$3,1,1) + (14+0.5)*365/50)</f>
        <v>0</v>
      </c>
      <c r="J752" s="2">
        <f>I752 - INT(ROUND($B$4 * 30.4375, 0) * (49+0.5)/50)</f>
        <v>0</v>
      </c>
      <c r="K752" s="4">
        <f>VLOOKUP(J752, '1_Rate_Changes'!$A$2:$C$100, 3, TRUE)</f>
        <v>0</v>
      </c>
    </row>
    <row r="753" spans="7:11">
      <c r="G753">
        <v>15</v>
      </c>
      <c r="H753">
        <v>0</v>
      </c>
      <c r="I753" s="2">
        <f>INT(DATE($B$3,1,1) + (15+0.5)*365/50)</f>
        <v>0</v>
      </c>
      <c r="J753" s="2">
        <f>I753 - INT(ROUND($B$4 * 30.4375, 0) * (0+0.5)/50)</f>
        <v>0</v>
      </c>
      <c r="K753" s="4">
        <f>VLOOKUP(J753, '1_Rate_Changes'!$A$2:$C$100, 3, TRUE)</f>
        <v>0</v>
      </c>
    </row>
    <row r="754" spans="7:11">
      <c r="G754">
        <v>15</v>
      </c>
      <c r="H754">
        <v>1</v>
      </c>
      <c r="I754" s="2">
        <f>INT(DATE($B$3,1,1) + (15+0.5)*365/50)</f>
        <v>0</v>
      </c>
      <c r="J754" s="2">
        <f>I754 - INT(ROUND($B$4 * 30.4375, 0) * (1+0.5)/50)</f>
        <v>0</v>
      </c>
      <c r="K754" s="4">
        <f>VLOOKUP(J754, '1_Rate_Changes'!$A$2:$C$100, 3, TRUE)</f>
        <v>0</v>
      </c>
    </row>
    <row r="755" spans="7:11">
      <c r="G755">
        <v>15</v>
      </c>
      <c r="H755">
        <v>2</v>
      </c>
      <c r="I755" s="2">
        <f>INT(DATE($B$3,1,1) + (15+0.5)*365/50)</f>
        <v>0</v>
      </c>
      <c r="J755" s="2">
        <f>I755 - INT(ROUND($B$4 * 30.4375, 0) * (2+0.5)/50)</f>
        <v>0</v>
      </c>
      <c r="K755" s="4">
        <f>VLOOKUP(J755, '1_Rate_Changes'!$A$2:$C$100, 3, TRUE)</f>
        <v>0</v>
      </c>
    </row>
    <row r="756" spans="7:11">
      <c r="G756">
        <v>15</v>
      </c>
      <c r="H756">
        <v>3</v>
      </c>
      <c r="I756" s="2">
        <f>INT(DATE($B$3,1,1) + (15+0.5)*365/50)</f>
        <v>0</v>
      </c>
      <c r="J756" s="2">
        <f>I756 - INT(ROUND($B$4 * 30.4375, 0) * (3+0.5)/50)</f>
        <v>0</v>
      </c>
      <c r="K756" s="4">
        <f>VLOOKUP(J756, '1_Rate_Changes'!$A$2:$C$100, 3, TRUE)</f>
        <v>0</v>
      </c>
    </row>
    <row r="757" spans="7:11">
      <c r="G757">
        <v>15</v>
      </c>
      <c r="H757">
        <v>4</v>
      </c>
      <c r="I757" s="2">
        <f>INT(DATE($B$3,1,1) + (15+0.5)*365/50)</f>
        <v>0</v>
      </c>
      <c r="J757" s="2">
        <f>I757 - INT(ROUND($B$4 * 30.4375, 0) * (4+0.5)/50)</f>
        <v>0</v>
      </c>
      <c r="K757" s="4">
        <f>VLOOKUP(J757, '1_Rate_Changes'!$A$2:$C$100, 3, TRUE)</f>
        <v>0</v>
      </c>
    </row>
    <row r="758" spans="7:11">
      <c r="G758">
        <v>15</v>
      </c>
      <c r="H758">
        <v>5</v>
      </c>
      <c r="I758" s="2">
        <f>INT(DATE($B$3,1,1) + (15+0.5)*365/50)</f>
        <v>0</v>
      </c>
      <c r="J758" s="2">
        <f>I758 - INT(ROUND($B$4 * 30.4375, 0) * (5+0.5)/50)</f>
        <v>0</v>
      </c>
      <c r="K758" s="4">
        <f>VLOOKUP(J758, '1_Rate_Changes'!$A$2:$C$100, 3, TRUE)</f>
        <v>0</v>
      </c>
    </row>
    <row r="759" spans="7:11">
      <c r="G759">
        <v>15</v>
      </c>
      <c r="H759">
        <v>6</v>
      </c>
      <c r="I759" s="2">
        <f>INT(DATE($B$3,1,1) + (15+0.5)*365/50)</f>
        <v>0</v>
      </c>
      <c r="J759" s="2">
        <f>I759 - INT(ROUND($B$4 * 30.4375, 0) * (6+0.5)/50)</f>
        <v>0</v>
      </c>
      <c r="K759" s="4">
        <f>VLOOKUP(J759, '1_Rate_Changes'!$A$2:$C$100, 3, TRUE)</f>
        <v>0</v>
      </c>
    </row>
    <row r="760" spans="7:11">
      <c r="G760">
        <v>15</v>
      </c>
      <c r="H760">
        <v>7</v>
      </c>
      <c r="I760" s="2">
        <f>INT(DATE($B$3,1,1) + (15+0.5)*365/50)</f>
        <v>0</v>
      </c>
      <c r="J760" s="2">
        <f>I760 - INT(ROUND($B$4 * 30.4375, 0) * (7+0.5)/50)</f>
        <v>0</v>
      </c>
      <c r="K760" s="4">
        <f>VLOOKUP(J760, '1_Rate_Changes'!$A$2:$C$100, 3, TRUE)</f>
        <v>0</v>
      </c>
    </row>
    <row r="761" spans="7:11">
      <c r="G761">
        <v>15</v>
      </c>
      <c r="H761">
        <v>8</v>
      </c>
      <c r="I761" s="2">
        <f>INT(DATE($B$3,1,1) + (15+0.5)*365/50)</f>
        <v>0</v>
      </c>
      <c r="J761" s="2">
        <f>I761 - INT(ROUND($B$4 * 30.4375, 0) * (8+0.5)/50)</f>
        <v>0</v>
      </c>
      <c r="K761" s="4">
        <f>VLOOKUP(J761, '1_Rate_Changes'!$A$2:$C$100, 3, TRUE)</f>
        <v>0</v>
      </c>
    </row>
    <row r="762" spans="7:11">
      <c r="G762">
        <v>15</v>
      </c>
      <c r="H762">
        <v>9</v>
      </c>
      <c r="I762" s="2">
        <f>INT(DATE($B$3,1,1) + (15+0.5)*365/50)</f>
        <v>0</v>
      </c>
      <c r="J762" s="2">
        <f>I762 - INT(ROUND($B$4 * 30.4375, 0) * (9+0.5)/50)</f>
        <v>0</v>
      </c>
      <c r="K762" s="4">
        <f>VLOOKUP(J762, '1_Rate_Changes'!$A$2:$C$100, 3, TRUE)</f>
        <v>0</v>
      </c>
    </row>
    <row r="763" spans="7:11">
      <c r="G763">
        <v>15</v>
      </c>
      <c r="H763">
        <v>10</v>
      </c>
      <c r="I763" s="2">
        <f>INT(DATE($B$3,1,1) + (15+0.5)*365/50)</f>
        <v>0</v>
      </c>
      <c r="J763" s="2">
        <f>I763 - INT(ROUND($B$4 * 30.4375, 0) * (10+0.5)/50)</f>
        <v>0</v>
      </c>
      <c r="K763" s="4">
        <f>VLOOKUP(J763, '1_Rate_Changes'!$A$2:$C$100, 3, TRUE)</f>
        <v>0</v>
      </c>
    </row>
    <row r="764" spans="7:11">
      <c r="G764">
        <v>15</v>
      </c>
      <c r="H764">
        <v>11</v>
      </c>
      <c r="I764" s="2">
        <f>INT(DATE($B$3,1,1) + (15+0.5)*365/50)</f>
        <v>0</v>
      </c>
      <c r="J764" s="2">
        <f>I764 - INT(ROUND($B$4 * 30.4375, 0) * (11+0.5)/50)</f>
        <v>0</v>
      </c>
      <c r="K764" s="4">
        <f>VLOOKUP(J764, '1_Rate_Changes'!$A$2:$C$100, 3, TRUE)</f>
        <v>0</v>
      </c>
    </row>
    <row r="765" spans="7:11">
      <c r="G765">
        <v>15</v>
      </c>
      <c r="H765">
        <v>12</v>
      </c>
      <c r="I765" s="2">
        <f>INT(DATE($B$3,1,1) + (15+0.5)*365/50)</f>
        <v>0</v>
      </c>
      <c r="J765" s="2">
        <f>I765 - INT(ROUND($B$4 * 30.4375, 0) * (12+0.5)/50)</f>
        <v>0</v>
      </c>
      <c r="K765" s="4">
        <f>VLOOKUP(J765, '1_Rate_Changes'!$A$2:$C$100, 3, TRUE)</f>
        <v>0</v>
      </c>
    </row>
    <row r="766" spans="7:11">
      <c r="G766">
        <v>15</v>
      </c>
      <c r="H766">
        <v>13</v>
      </c>
      <c r="I766" s="2">
        <f>INT(DATE($B$3,1,1) + (15+0.5)*365/50)</f>
        <v>0</v>
      </c>
      <c r="J766" s="2">
        <f>I766 - INT(ROUND($B$4 * 30.4375, 0) * (13+0.5)/50)</f>
        <v>0</v>
      </c>
      <c r="K766" s="4">
        <f>VLOOKUP(J766, '1_Rate_Changes'!$A$2:$C$100, 3, TRUE)</f>
        <v>0</v>
      </c>
    </row>
    <row r="767" spans="7:11">
      <c r="G767">
        <v>15</v>
      </c>
      <c r="H767">
        <v>14</v>
      </c>
      <c r="I767" s="2">
        <f>INT(DATE($B$3,1,1) + (15+0.5)*365/50)</f>
        <v>0</v>
      </c>
      <c r="J767" s="2">
        <f>I767 - INT(ROUND($B$4 * 30.4375, 0) * (14+0.5)/50)</f>
        <v>0</v>
      </c>
      <c r="K767" s="4">
        <f>VLOOKUP(J767, '1_Rate_Changes'!$A$2:$C$100, 3, TRUE)</f>
        <v>0</v>
      </c>
    </row>
    <row r="768" spans="7:11">
      <c r="G768">
        <v>15</v>
      </c>
      <c r="H768">
        <v>15</v>
      </c>
      <c r="I768" s="2">
        <f>INT(DATE($B$3,1,1) + (15+0.5)*365/50)</f>
        <v>0</v>
      </c>
      <c r="J768" s="2">
        <f>I768 - INT(ROUND($B$4 * 30.4375, 0) * (15+0.5)/50)</f>
        <v>0</v>
      </c>
      <c r="K768" s="4">
        <f>VLOOKUP(J768, '1_Rate_Changes'!$A$2:$C$100, 3, TRUE)</f>
        <v>0</v>
      </c>
    </row>
    <row r="769" spans="7:11">
      <c r="G769">
        <v>15</v>
      </c>
      <c r="H769">
        <v>16</v>
      </c>
      <c r="I769" s="2">
        <f>INT(DATE($B$3,1,1) + (15+0.5)*365/50)</f>
        <v>0</v>
      </c>
      <c r="J769" s="2">
        <f>I769 - INT(ROUND($B$4 * 30.4375, 0) * (16+0.5)/50)</f>
        <v>0</v>
      </c>
      <c r="K769" s="4">
        <f>VLOOKUP(J769, '1_Rate_Changes'!$A$2:$C$100, 3, TRUE)</f>
        <v>0</v>
      </c>
    </row>
    <row r="770" spans="7:11">
      <c r="G770">
        <v>15</v>
      </c>
      <c r="H770">
        <v>17</v>
      </c>
      <c r="I770" s="2">
        <f>INT(DATE($B$3,1,1) + (15+0.5)*365/50)</f>
        <v>0</v>
      </c>
      <c r="J770" s="2">
        <f>I770 - INT(ROUND($B$4 * 30.4375, 0) * (17+0.5)/50)</f>
        <v>0</v>
      </c>
      <c r="K770" s="4">
        <f>VLOOKUP(J770, '1_Rate_Changes'!$A$2:$C$100, 3, TRUE)</f>
        <v>0</v>
      </c>
    </row>
    <row r="771" spans="7:11">
      <c r="G771">
        <v>15</v>
      </c>
      <c r="H771">
        <v>18</v>
      </c>
      <c r="I771" s="2">
        <f>INT(DATE($B$3,1,1) + (15+0.5)*365/50)</f>
        <v>0</v>
      </c>
      <c r="J771" s="2">
        <f>I771 - INT(ROUND($B$4 * 30.4375, 0) * (18+0.5)/50)</f>
        <v>0</v>
      </c>
      <c r="K771" s="4">
        <f>VLOOKUP(J771, '1_Rate_Changes'!$A$2:$C$100, 3, TRUE)</f>
        <v>0</v>
      </c>
    </row>
    <row r="772" spans="7:11">
      <c r="G772">
        <v>15</v>
      </c>
      <c r="H772">
        <v>19</v>
      </c>
      <c r="I772" s="2">
        <f>INT(DATE($B$3,1,1) + (15+0.5)*365/50)</f>
        <v>0</v>
      </c>
      <c r="J772" s="2">
        <f>I772 - INT(ROUND($B$4 * 30.4375, 0) * (19+0.5)/50)</f>
        <v>0</v>
      </c>
      <c r="K772" s="4">
        <f>VLOOKUP(J772, '1_Rate_Changes'!$A$2:$C$100, 3, TRUE)</f>
        <v>0</v>
      </c>
    </row>
    <row r="773" spans="7:11">
      <c r="G773">
        <v>15</v>
      </c>
      <c r="H773">
        <v>20</v>
      </c>
      <c r="I773" s="2">
        <f>INT(DATE($B$3,1,1) + (15+0.5)*365/50)</f>
        <v>0</v>
      </c>
      <c r="J773" s="2">
        <f>I773 - INT(ROUND($B$4 * 30.4375, 0) * (20+0.5)/50)</f>
        <v>0</v>
      </c>
      <c r="K773" s="4">
        <f>VLOOKUP(J773, '1_Rate_Changes'!$A$2:$C$100, 3, TRUE)</f>
        <v>0</v>
      </c>
    </row>
    <row r="774" spans="7:11">
      <c r="G774">
        <v>15</v>
      </c>
      <c r="H774">
        <v>21</v>
      </c>
      <c r="I774" s="2">
        <f>INT(DATE($B$3,1,1) + (15+0.5)*365/50)</f>
        <v>0</v>
      </c>
      <c r="J774" s="2">
        <f>I774 - INT(ROUND($B$4 * 30.4375, 0) * (21+0.5)/50)</f>
        <v>0</v>
      </c>
      <c r="K774" s="4">
        <f>VLOOKUP(J774, '1_Rate_Changes'!$A$2:$C$100, 3, TRUE)</f>
        <v>0</v>
      </c>
    </row>
    <row r="775" spans="7:11">
      <c r="G775">
        <v>15</v>
      </c>
      <c r="H775">
        <v>22</v>
      </c>
      <c r="I775" s="2">
        <f>INT(DATE($B$3,1,1) + (15+0.5)*365/50)</f>
        <v>0</v>
      </c>
      <c r="J775" s="2">
        <f>I775 - INT(ROUND($B$4 * 30.4375, 0) * (22+0.5)/50)</f>
        <v>0</v>
      </c>
      <c r="K775" s="4">
        <f>VLOOKUP(J775, '1_Rate_Changes'!$A$2:$C$100, 3, TRUE)</f>
        <v>0</v>
      </c>
    </row>
    <row r="776" spans="7:11">
      <c r="G776">
        <v>15</v>
      </c>
      <c r="H776">
        <v>23</v>
      </c>
      <c r="I776" s="2">
        <f>INT(DATE($B$3,1,1) + (15+0.5)*365/50)</f>
        <v>0</v>
      </c>
      <c r="J776" s="2">
        <f>I776 - INT(ROUND($B$4 * 30.4375, 0) * (23+0.5)/50)</f>
        <v>0</v>
      </c>
      <c r="K776" s="4">
        <f>VLOOKUP(J776, '1_Rate_Changes'!$A$2:$C$100, 3, TRUE)</f>
        <v>0</v>
      </c>
    </row>
    <row r="777" spans="7:11">
      <c r="G777">
        <v>15</v>
      </c>
      <c r="H777">
        <v>24</v>
      </c>
      <c r="I777" s="2">
        <f>INT(DATE($B$3,1,1) + (15+0.5)*365/50)</f>
        <v>0</v>
      </c>
      <c r="J777" s="2">
        <f>I777 - INT(ROUND($B$4 * 30.4375, 0) * (24+0.5)/50)</f>
        <v>0</v>
      </c>
      <c r="K777" s="4">
        <f>VLOOKUP(J777, '1_Rate_Changes'!$A$2:$C$100, 3, TRUE)</f>
        <v>0</v>
      </c>
    </row>
    <row r="778" spans="7:11">
      <c r="G778">
        <v>15</v>
      </c>
      <c r="H778">
        <v>25</v>
      </c>
      <c r="I778" s="2">
        <f>INT(DATE($B$3,1,1) + (15+0.5)*365/50)</f>
        <v>0</v>
      </c>
      <c r="J778" s="2">
        <f>I778 - INT(ROUND($B$4 * 30.4375, 0) * (25+0.5)/50)</f>
        <v>0</v>
      </c>
      <c r="K778" s="4">
        <f>VLOOKUP(J778, '1_Rate_Changes'!$A$2:$C$100, 3, TRUE)</f>
        <v>0</v>
      </c>
    </row>
    <row r="779" spans="7:11">
      <c r="G779">
        <v>15</v>
      </c>
      <c r="H779">
        <v>26</v>
      </c>
      <c r="I779" s="2">
        <f>INT(DATE($B$3,1,1) + (15+0.5)*365/50)</f>
        <v>0</v>
      </c>
      <c r="J779" s="2">
        <f>I779 - INT(ROUND($B$4 * 30.4375, 0) * (26+0.5)/50)</f>
        <v>0</v>
      </c>
      <c r="K779" s="4">
        <f>VLOOKUP(J779, '1_Rate_Changes'!$A$2:$C$100, 3, TRUE)</f>
        <v>0</v>
      </c>
    </row>
    <row r="780" spans="7:11">
      <c r="G780">
        <v>15</v>
      </c>
      <c r="H780">
        <v>27</v>
      </c>
      <c r="I780" s="2">
        <f>INT(DATE($B$3,1,1) + (15+0.5)*365/50)</f>
        <v>0</v>
      </c>
      <c r="J780" s="2">
        <f>I780 - INT(ROUND($B$4 * 30.4375, 0) * (27+0.5)/50)</f>
        <v>0</v>
      </c>
      <c r="K780" s="4">
        <f>VLOOKUP(J780, '1_Rate_Changes'!$A$2:$C$100, 3, TRUE)</f>
        <v>0</v>
      </c>
    </row>
    <row r="781" spans="7:11">
      <c r="G781">
        <v>15</v>
      </c>
      <c r="H781">
        <v>28</v>
      </c>
      <c r="I781" s="2">
        <f>INT(DATE($B$3,1,1) + (15+0.5)*365/50)</f>
        <v>0</v>
      </c>
      <c r="J781" s="2">
        <f>I781 - INT(ROUND($B$4 * 30.4375, 0) * (28+0.5)/50)</f>
        <v>0</v>
      </c>
      <c r="K781" s="4">
        <f>VLOOKUP(J781, '1_Rate_Changes'!$A$2:$C$100, 3, TRUE)</f>
        <v>0</v>
      </c>
    </row>
    <row r="782" spans="7:11">
      <c r="G782">
        <v>15</v>
      </c>
      <c r="H782">
        <v>29</v>
      </c>
      <c r="I782" s="2">
        <f>INT(DATE($B$3,1,1) + (15+0.5)*365/50)</f>
        <v>0</v>
      </c>
      <c r="J782" s="2">
        <f>I782 - INT(ROUND($B$4 * 30.4375, 0) * (29+0.5)/50)</f>
        <v>0</v>
      </c>
      <c r="K782" s="4">
        <f>VLOOKUP(J782, '1_Rate_Changes'!$A$2:$C$100, 3, TRUE)</f>
        <v>0</v>
      </c>
    </row>
    <row r="783" spans="7:11">
      <c r="G783">
        <v>15</v>
      </c>
      <c r="H783">
        <v>30</v>
      </c>
      <c r="I783" s="2">
        <f>INT(DATE($B$3,1,1) + (15+0.5)*365/50)</f>
        <v>0</v>
      </c>
      <c r="J783" s="2">
        <f>I783 - INT(ROUND($B$4 * 30.4375, 0) * (30+0.5)/50)</f>
        <v>0</v>
      </c>
      <c r="K783" s="4">
        <f>VLOOKUP(J783, '1_Rate_Changes'!$A$2:$C$100, 3, TRUE)</f>
        <v>0</v>
      </c>
    </row>
    <row r="784" spans="7:11">
      <c r="G784">
        <v>15</v>
      </c>
      <c r="H784">
        <v>31</v>
      </c>
      <c r="I784" s="2">
        <f>INT(DATE($B$3,1,1) + (15+0.5)*365/50)</f>
        <v>0</v>
      </c>
      <c r="J784" s="2">
        <f>I784 - INT(ROUND($B$4 * 30.4375, 0) * (31+0.5)/50)</f>
        <v>0</v>
      </c>
      <c r="K784" s="4">
        <f>VLOOKUP(J784, '1_Rate_Changes'!$A$2:$C$100, 3, TRUE)</f>
        <v>0</v>
      </c>
    </row>
    <row r="785" spans="7:11">
      <c r="G785">
        <v>15</v>
      </c>
      <c r="H785">
        <v>32</v>
      </c>
      <c r="I785" s="2">
        <f>INT(DATE($B$3,1,1) + (15+0.5)*365/50)</f>
        <v>0</v>
      </c>
      <c r="J785" s="2">
        <f>I785 - INT(ROUND($B$4 * 30.4375, 0) * (32+0.5)/50)</f>
        <v>0</v>
      </c>
      <c r="K785" s="4">
        <f>VLOOKUP(J785, '1_Rate_Changes'!$A$2:$C$100, 3, TRUE)</f>
        <v>0</v>
      </c>
    </row>
    <row r="786" spans="7:11">
      <c r="G786">
        <v>15</v>
      </c>
      <c r="H786">
        <v>33</v>
      </c>
      <c r="I786" s="2">
        <f>INT(DATE($B$3,1,1) + (15+0.5)*365/50)</f>
        <v>0</v>
      </c>
      <c r="J786" s="2">
        <f>I786 - INT(ROUND($B$4 * 30.4375, 0) * (33+0.5)/50)</f>
        <v>0</v>
      </c>
      <c r="K786" s="4">
        <f>VLOOKUP(J786, '1_Rate_Changes'!$A$2:$C$100, 3, TRUE)</f>
        <v>0</v>
      </c>
    </row>
    <row r="787" spans="7:11">
      <c r="G787">
        <v>15</v>
      </c>
      <c r="H787">
        <v>34</v>
      </c>
      <c r="I787" s="2">
        <f>INT(DATE($B$3,1,1) + (15+0.5)*365/50)</f>
        <v>0</v>
      </c>
      <c r="J787" s="2">
        <f>I787 - INT(ROUND($B$4 * 30.4375, 0) * (34+0.5)/50)</f>
        <v>0</v>
      </c>
      <c r="K787" s="4">
        <f>VLOOKUP(J787, '1_Rate_Changes'!$A$2:$C$100, 3, TRUE)</f>
        <v>0</v>
      </c>
    </row>
    <row r="788" spans="7:11">
      <c r="G788">
        <v>15</v>
      </c>
      <c r="H788">
        <v>35</v>
      </c>
      <c r="I788" s="2">
        <f>INT(DATE($B$3,1,1) + (15+0.5)*365/50)</f>
        <v>0</v>
      </c>
      <c r="J788" s="2">
        <f>I788 - INT(ROUND($B$4 * 30.4375, 0) * (35+0.5)/50)</f>
        <v>0</v>
      </c>
      <c r="K788" s="4">
        <f>VLOOKUP(J788, '1_Rate_Changes'!$A$2:$C$100, 3, TRUE)</f>
        <v>0</v>
      </c>
    </row>
    <row r="789" spans="7:11">
      <c r="G789">
        <v>15</v>
      </c>
      <c r="H789">
        <v>36</v>
      </c>
      <c r="I789" s="2">
        <f>INT(DATE($B$3,1,1) + (15+0.5)*365/50)</f>
        <v>0</v>
      </c>
      <c r="J789" s="2">
        <f>I789 - INT(ROUND($B$4 * 30.4375, 0) * (36+0.5)/50)</f>
        <v>0</v>
      </c>
      <c r="K789" s="4">
        <f>VLOOKUP(J789, '1_Rate_Changes'!$A$2:$C$100, 3, TRUE)</f>
        <v>0</v>
      </c>
    </row>
    <row r="790" spans="7:11">
      <c r="G790">
        <v>15</v>
      </c>
      <c r="H790">
        <v>37</v>
      </c>
      <c r="I790" s="2">
        <f>INT(DATE($B$3,1,1) + (15+0.5)*365/50)</f>
        <v>0</v>
      </c>
      <c r="J790" s="2">
        <f>I790 - INT(ROUND($B$4 * 30.4375, 0) * (37+0.5)/50)</f>
        <v>0</v>
      </c>
      <c r="K790" s="4">
        <f>VLOOKUP(J790, '1_Rate_Changes'!$A$2:$C$100, 3, TRUE)</f>
        <v>0</v>
      </c>
    </row>
    <row r="791" spans="7:11">
      <c r="G791">
        <v>15</v>
      </c>
      <c r="H791">
        <v>38</v>
      </c>
      <c r="I791" s="2">
        <f>INT(DATE($B$3,1,1) + (15+0.5)*365/50)</f>
        <v>0</v>
      </c>
      <c r="J791" s="2">
        <f>I791 - INT(ROUND($B$4 * 30.4375, 0) * (38+0.5)/50)</f>
        <v>0</v>
      </c>
      <c r="K791" s="4">
        <f>VLOOKUP(J791, '1_Rate_Changes'!$A$2:$C$100, 3, TRUE)</f>
        <v>0</v>
      </c>
    </row>
    <row r="792" spans="7:11">
      <c r="G792">
        <v>15</v>
      </c>
      <c r="H792">
        <v>39</v>
      </c>
      <c r="I792" s="2">
        <f>INT(DATE($B$3,1,1) + (15+0.5)*365/50)</f>
        <v>0</v>
      </c>
      <c r="J792" s="2">
        <f>I792 - INT(ROUND($B$4 * 30.4375, 0) * (39+0.5)/50)</f>
        <v>0</v>
      </c>
      <c r="K792" s="4">
        <f>VLOOKUP(J792, '1_Rate_Changes'!$A$2:$C$100, 3, TRUE)</f>
        <v>0</v>
      </c>
    </row>
    <row r="793" spans="7:11">
      <c r="G793">
        <v>15</v>
      </c>
      <c r="H793">
        <v>40</v>
      </c>
      <c r="I793" s="2">
        <f>INT(DATE($B$3,1,1) + (15+0.5)*365/50)</f>
        <v>0</v>
      </c>
      <c r="J793" s="2">
        <f>I793 - INT(ROUND($B$4 * 30.4375, 0) * (40+0.5)/50)</f>
        <v>0</v>
      </c>
      <c r="K793" s="4">
        <f>VLOOKUP(J793, '1_Rate_Changes'!$A$2:$C$100, 3, TRUE)</f>
        <v>0</v>
      </c>
    </row>
    <row r="794" spans="7:11">
      <c r="G794">
        <v>15</v>
      </c>
      <c r="H794">
        <v>41</v>
      </c>
      <c r="I794" s="2">
        <f>INT(DATE($B$3,1,1) + (15+0.5)*365/50)</f>
        <v>0</v>
      </c>
      <c r="J794" s="2">
        <f>I794 - INT(ROUND($B$4 * 30.4375, 0) * (41+0.5)/50)</f>
        <v>0</v>
      </c>
      <c r="K794" s="4">
        <f>VLOOKUP(J794, '1_Rate_Changes'!$A$2:$C$100, 3, TRUE)</f>
        <v>0</v>
      </c>
    </row>
    <row r="795" spans="7:11">
      <c r="G795">
        <v>15</v>
      </c>
      <c r="H795">
        <v>42</v>
      </c>
      <c r="I795" s="2">
        <f>INT(DATE($B$3,1,1) + (15+0.5)*365/50)</f>
        <v>0</v>
      </c>
      <c r="J795" s="2">
        <f>I795 - INT(ROUND($B$4 * 30.4375, 0) * (42+0.5)/50)</f>
        <v>0</v>
      </c>
      <c r="K795" s="4">
        <f>VLOOKUP(J795, '1_Rate_Changes'!$A$2:$C$100, 3, TRUE)</f>
        <v>0</v>
      </c>
    </row>
    <row r="796" spans="7:11">
      <c r="G796">
        <v>15</v>
      </c>
      <c r="H796">
        <v>43</v>
      </c>
      <c r="I796" s="2">
        <f>INT(DATE($B$3,1,1) + (15+0.5)*365/50)</f>
        <v>0</v>
      </c>
      <c r="J796" s="2">
        <f>I796 - INT(ROUND($B$4 * 30.4375, 0) * (43+0.5)/50)</f>
        <v>0</v>
      </c>
      <c r="K796" s="4">
        <f>VLOOKUP(J796, '1_Rate_Changes'!$A$2:$C$100, 3, TRUE)</f>
        <v>0</v>
      </c>
    </row>
    <row r="797" spans="7:11">
      <c r="G797">
        <v>15</v>
      </c>
      <c r="H797">
        <v>44</v>
      </c>
      <c r="I797" s="2">
        <f>INT(DATE($B$3,1,1) + (15+0.5)*365/50)</f>
        <v>0</v>
      </c>
      <c r="J797" s="2">
        <f>I797 - INT(ROUND($B$4 * 30.4375, 0) * (44+0.5)/50)</f>
        <v>0</v>
      </c>
      <c r="K797" s="4">
        <f>VLOOKUP(J797, '1_Rate_Changes'!$A$2:$C$100, 3, TRUE)</f>
        <v>0</v>
      </c>
    </row>
    <row r="798" spans="7:11">
      <c r="G798">
        <v>15</v>
      </c>
      <c r="H798">
        <v>45</v>
      </c>
      <c r="I798" s="2">
        <f>INT(DATE($B$3,1,1) + (15+0.5)*365/50)</f>
        <v>0</v>
      </c>
      <c r="J798" s="2">
        <f>I798 - INT(ROUND($B$4 * 30.4375, 0) * (45+0.5)/50)</f>
        <v>0</v>
      </c>
      <c r="K798" s="4">
        <f>VLOOKUP(J798, '1_Rate_Changes'!$A$2:$C$100, 3, TRUE)</f>
        <v>0</v>
      </c>
    </row>
    <row r="799" spans="7:11">
      <c r="G799">
        <v>15</v>
      </c>
      <c r="H799">
        <v>46</v>
      </c>
      <c r="I799" s="2">
        <f>INT(DATE($B$3,1,1) + (15+0.5)*365/50)</f>
        <v>0</v>
      </c>
      <c r="J799" s="2">
        <f>I799 - INT(ROUND($B$4 * 30.4375, 0) * (46+0.5)/50)</f>
        <v>0</v>
      </c>
      <c r="K799" s="4">
        <f>VLOOKUP(J799, '1_Rate_Changes'!$A$2:$C$100, 3, TRUE)</f>
        <v>0</v>
      </c>
    </row>
    <row r="800" spans="7:11">
      <c r="G800">
        <v>15</v>
      </c>
      <c r="H800">
        <v>47</v>
      </c>
      <c r="I800" s="2">
        <f>INT(DATE($B$3,1,1) + (15+0.5)*365/50)</f>
        <v>0</v>
      </c>
      <c r="J800" s="2">
        <f>I800 - INT(ROUND($B$4 * 30.4375, 0) * (47+0.5)/50)</f>
        <v>0</v>
      </c>
      <c r="K800" s="4">
        <f>VLOOKUP(J800, '1_Rate_Changes'!$A$2:$C$100, 3, TRUE)</f>
        <v>0</v>
      </c>
    </row>
    <row r="801" spans="7:11">
      <c r="G801">
        <v>15</v>
      </c>
      <c r="H801">
        <v>48</v>
      </c>
      <c r="I801" s="2">
        <f>INT(DATE($B$3,1,1) + (15+0.5)*365/50)</f>
        <v>0</v>
      </c>
      <c r="J801" s="2">
        <f>I801 - INT(ROUND($B$4 * 30.4375, 0) * (48+0.5)/50)</f>
        <v>0</v>
      </c>
      <c r="K801" s="4">
        <f>VLOOKUP(J801, '1_Rate_Changes'!$A$2:$C$100, 3, TRUE)</f>
        <v>0</v>
      </c>
    </row>
    <row r="802" spans="7:11">
      <c r="G802">
        <v>15</v>
      </c>
      <c r="H802">
        <v>49</v>
      </c>
      <c r="I802" s="2">
        <f>INT(DATE($B$3,1,1) + (15+0.5)*365/50)</f>
        <v>0</v>
      </c>
      <c r="J802" s="2">
        <f>I802 - INT(ROUND($B$4 * 30.4375, 0) * (49+0.5)/50)</f>
        <v>0</v>
      </c>
      <c r="K802" s="4">
        <f>VLOOKUP(J802, '1_Rate_Changes'!$A$2:$C$100, 3, TRUE)</f>
        <v>0</v>
      </c>
    </row>
    <row r="803" spans="7:11">
      <c r="G803">
        <v>16</v>
      </c>
      <c r="H803">
        <v>0</v>
      </c>
      <c r="I803" s="2">
        <f>INT(DATE($B$3,1,1) + (16+0.5)*365/50)</f>
        <v>0</v>
      </c>
      <c r="J803" s="2">
        <f>I803 - INT(ROUND($B$4 * 30.4375, 0) * (0+0.5)/50)</f>
        <v>0</v>
      </c>
      <c r="K803" s="4">
        <f>VLOOKUP(J803, '1_Rate_Changes'!$A$2:$C$100, 3, TRUE)</f>
        <v>0</v>
      </c>
    </row>
    <row r="804" spans="7:11">
      <c r="G804">
        <v>16</v>
      </c>
      <c r="H804">
        <v>1</v>
      </c>
      <c r="I804" s="2">
        <f>INT(DATE($B$3,1,1) + (16+0.5)*365/50)</f>
        <v>0</v>
      </c>
      <c r="J804" s="2">
        <f>I804 - INT(ROUND($B$4 * 30.4375, 0) * (1+0.5)/50)</f>
        <v>0</v>
      </c>
      <c r="K804" s="4">
        <f>VLOOKUP(J804, '1_Rate_Changes'!$A$2:$C$100, 3, TRUE)</f>
        <v>0</v>
      </c>
    </row>
    <row r="805" spans="7:11">
      <c r="G805">
        <v>16</v>
      </c>
      <c r="H805">
        <v>2</v>
      </c>
      <c r="I805" s="2">
        <f>INT(DATE($B$3,1,1) + (16+0.5)*365/50)</f>
        <v>0</v>
      </c>
      <c r="J805" s="2">
        <f>I805 - INT(ROUND($B$4 * 30.4375, 0) * (2+0.5)/50)</f>
        <v>0</v>
      </c>
      <c r="K805" s="4">
        <f>VLOOKUP(J805, '1_Rate_Changes'!$A$2:$C$100, 3, TRUE)</f>
        <v>0</v>
      </c>
    </row>
    <row r="806" spans="7:11">
      <c r="G806">
        <v>16</v>
      </c>
      <c r="H806">
        <v>3</v>
      </c>
      <c r="I806" s="2">
        <f>INT(DATE($B$3,1,1) + (16+0.5)*365/50)</f>
        <v>0</v>
      </c>
      <c r="J806" s="2">
        <f>I806 - INT(ROUND($B$4 * 30.4375, 0) * (3+0.5)/50)</f>
        <v>0</v>
      </c>
      <c r="K806" s="4">
        <f>VLOOKUP(J806, '1_Rate_Changes'!$A$2:$C$100, 3, TRUE)</f>
        <v>0</v>
      </c>
    </row>
    <row r="807" spans="7:11">
      <c r="G807">
        <v>16</v>
      </c>
      <c r="H807">
        <v>4</v>
      </c>
      <c r="I807" s="2">
        <f>INT(DATE($B$3,1,1) + (16+0.5)*365/50)</f>
        <v>0</v>
      </c>
      <c r="J807" s="2">
        <f>I807 - INT(ROUND($B$4 * 30.4375, 0) * (4+0.5)/50)</f>
        <v>0</v>
      </c>
      <c r="K807" s="4">
        <f>VLOOKUP(J807, '1_Rate_Changes'!$A$2:$C$100, 3, TRUE)</f>
        <v>0</v>
      </c>
    </row>
    <row r="808" spans="7:11">
      <c r="G808">
        <v>16</v>
      </c>
      <c r="H808">
        <v>5</v>
      </c>
      <c r="I808" s="2">
        <f>INT(DATE($B$3,1,1) + (16+0.5)*365/50)</f>
        <v>0</v>
      </c>
      <c r="J808" s="2">
        <f>I808 - INT(ROUND($B$4 * 30.4375, 0) * (5+0.5)/50)</f>
        <v>0</v>
      </c>
      <c r="K808" s="4">
        <f>VLOOKUP(J808, '1_Rate_Changes'!$A$2:$C$100, 3, TRUE)</f>
        <v>0</v>
      </c>
    </row>
    <row r="809" spans="7:11">
      <c r="G809">
        <v>16</v>
      </c>
      <c r="H809">
        <v>6</v>
      </c>
      <c r="I809" s="2">
        <f>INT(DATE($B$3,1,1) + (16+0.5)*365/50)</f>
        <v>0</v>
      </c>
      <c r="J809" s="2">
        <f>I809 - INT(ROUND($B$4 * 30.4375, 0) * (6+0.5)/50)</f>
        <v>0</v>
      </c>
      <c r="K809" s="4">
        <f>VLOOKUP(J809, '1_Rate_Changes'!$A$2:$C$100, 3, TRUE)</f>
        <v>0</v>
      </c>
    </row>
    <row r="810" spans="7:11">
      <c r="G810">
        <v>16</v>
      </c>
      <c r="H810">
        <v>7</v>
      </c>
      <c r="I810" s="2">
        <f>INT(DATE($B$3,1,1) + (16+0.5)*365/50)</f>
        <v>0</v>
      </c>
      <c r="J810" s="2">
        <f>I810 - INT(ROUND($B$4 * 30.4375, 0) * (7+0.5)/50)</f>
        <v>0</v>
      </c>
      <c r="K810" s="4">
        <f>VLOOKUP(J810, '1_Rate_Changes'!$A$2:$C$100, 3, TRUE)</f>
        <v>0</v>
      </c>
    </row>
    <row r="811" spans="7:11">
      <c r="G811">
        <v>16</v>
      </c>
      <c r="H811">
        <v>8</v>
      </c>
      <c r="I811" s="2">
        <f>INT(DATE($B$3,1,1) + (16+0.5)*365/50)</f>
        <v>0</v>
      </c>
      <c r="J811" s="2">
        <f>I811 - INT(ROUND($B$4 * 30.4375, 0) * (8+0.5)/50)</f>
        <v>0</v>
      </c>
      <c r="K811" s="4">
        <f>VLOOKUP(J811, '1_Rate_Changes'!$A$2:$C$100, 3, TRUE)</f>
        <v>0</v>
      </c>
    </row>
    <row r="812" spans="7:11">
      <c r="G812">
        <v>16</v>
      </c>
      <c r="H812">
        <v>9</v>
      </c>
      <c r="I812" s="2">
        <f>INT(DATE($B$3,1,1) + (16+0.5)*365/50)</f>
        <v>0</v>
      </c>
      <c r="J812" s="2">
        <f>I812 - INT(ROUND($B$4 * 30.4375, 0) * (9+0.5)/50)</f>
        <v>0</v>
      </c>
      <c r="K812" s="4">
        <f>VLOOKUP(J812, '1_Rate_Changes'!$A$2:$C$100, 3, TRUE)</f>
        <v>0</v>
      </c>
    </row>
    <row r="813" spans="7:11">
      <c r="G813">
        <v>16</v>
      </c>
      <c r="H813">
        <v>10</v>
      </c>
      <c r="I813" s="2">
        <f>INT(DATE($B$3,1,1) + (16+0.5)*365/50)</f>
        <v>0</v>
      </c>
      <c r="J813" s="2">
        <f>I813 - INT(ROUND($B$4 * 30.4375, 0) * (10+0.5)/50)</f>
        <v>0</v>
      </c>
      <c r="K813" s="4">
        <f>VLOOKUP(J813, '1_Rate_Changes'!$A$2:$C$100, 3, TRUE)</f>
        <v>0</v>
      </c>
    </row>
    <row r="814" spans="7:11">
      <c r="G814">
        <v>16</v>
      </c>
      <c r="H814">
        <v>11</v>
      </c>
      <c r="I814" s="2">
        <f>INT(DATE($B$3,1,1) + (16+0.5)*365/50)</f>
        <v>0</v>
      </c>
      <c r="J814" s="2">
        <f>I814 - INT(ROUND($B$4 * 30.4375, 0) * (11+0.5)/50)</f>
        <v>0</v>
      </c>
      <c r="K814" s="4">
        <f>VLOOKUP(J814, '1_Rate_Changes'!$A$2:$C$100, 3, TRUE)</f>
        <v>0</v>
      </c>
    </row>
    <row r="815" spans="7:11">
      <c r="G815">
        <v>16</v>
      </c>
      <c r="H815">
        <v>12</v>
      </c>
      <c r="I815" s="2">
        <f>INT(DATE($B$3,1,1) + (16+0.5)*365/50)</f>
        <v>0</v>
      </c>
      <c r="J815" s="2">
        <f>I815 - INT(ROUND($B$4 * 30.4375, 0) * (12+0.5)/50)</f>
        <v>0</v>
      </c>
      <c r="K815" s="4">
        <f>VLOOKUP(J815, '1_Rate_Changes'!$A$2:$C$100, 3, TRUE)</f>
        <v>0</v>
      </c>
    </row>
    <row r="816" spans="7:11">
      <c r="G816">
        <v>16</v>
      </c>
      <c r="H816">
        <v>13</v>
      </c>
      <c r="I816" s="2">
        <f>INT(DATE($B$3,1,1) + (16+0.5)*365/50)</f>
        <v>0</v>
      </c>
      <c r="J816" s="2">
        <f>I816 - INT(ROUND($B$4 * 30.4375, 0) * (13+0.5)/50)</f>
        <v>0</v>
      </c>
      <c r="K816" s="4">
        <f>VLOOKUP(J816, '1_Rate_Changes'!$A$2:$C$100, 3, TRUE)</f>
        <v>0</v>
      </c>
    </row>
    <row r="817" spans="7:11">
      <c r="G817">
        <v>16</v>
      </c>
      <c r="H817">
        <v>14</v>
      </c>
      <c r="I817" s="2">
        <f>INT(DATE($B$3,1,1) + (16+0.5)*365/50)</f>
        <v>0</v>
      </c>
      <c r="J817" s="2">
        <f>I817 - INT(ROUND($B$4 * 30.4375, 0) * (14+0.5)/50)</f>
        <v>0</v>
      </c>
      <c r="K817" s="4">
        <f>VLOOKUP(J817, '1_Rate_Changes'!$A$2:$C$100, 3, TRUE)</f>
        <v>0</v>
      </c>
    </row>
    <row r="818" spans="7:11">
      <c r="G818">
        <v>16</v>
      </c>
      <c r="H818">
        <v>15</v>
      </c>
      <c r="I818" s="2">
        <f>INT(DATE($B$3,1,1) + (16+0.5)*365/50)</f>
        <v>0</v>
      </c>
      <c r="J818" s="2">
        <f>I818 - INT(ROUND($B$4 * 30.4375, 0) * (15+0.5)/50)</f>
        <v>0</v>
      </c>
      <c r="K818" s="4">
        <f>VLOOKUP(J818, '1_Rate_Changes'!$A$2:$C$100, 3, TRUE)</f>
        <v>0</v>
      </c>
    </row>
    <row r="819" spans="7:11">
      <c r="G819">
        <v>16</v>
      </c>
      <c r="H819">
        <v>16</v>
      </c>
      <c r="I819" s="2">
        <f>INT(DATE($B$3,1,1) + (16+0.5)*365/50)</f>
        <v>0</v>
      </c>
      <c r="J819" s="2">
        <f>I819 - INT(ROUND($B$4 * 30.4375, 0) * (16+0.5)/50)</f>
        <v>0</v>
      </c>
      <c r="K819" s="4">
        <f>VLOOKUP(J819, '1_Rate_Changes'!$A$2:$C$100, 3, TRUE)</f>
        <v>0</v>
      </c>
    </row>
    <row r="820" spans="7:11">
      <c r="G820">
        <v>16</v>
      </c>
      <c r="H820">
        <v>17</v>
      </c>
      <c r="I820" s="2">
        <f>INT(DATE($B$3,1,1) + (16+0.5)*365/50)</f>
        <v>0</v>
      </c>
      <c r="J820" s="2">
        <f>I820 - INT(ROUND($B$4 * 30.4375, 0) * (17+0.5)/50)</f>
        <v>0</v>
      </c>
      <c r="K820" s="4">
        <f>VLOOKUP(J820, '1_Rate_Changes'!$A$2:$C$100, 3, TRUE)</f>
        <v>0</v>
      </c>
    </row>
    <row r="821" spans="7:11">
      <c r="G821">
        <v>16</v>
      </c>
      <c r="H821">
        <v>18</v>
      </c>
      <c r="I821" s="2">
        <f>INT(DATE($B$3,1,1) + (16+0.5)*365/50)</f>
        <v>0</v>
      </c>
      <c r="J821" s="2">
        <f>I821 - INT(ROUND($B$4 * 30.4375, 0) * (18+0.5)/50)</f>
        <v>0</v>
      </c>
      <c r="K821" s="4">
        <f>VLOOKUP(J821, '1_Rate_Changes'!$A$2:$C$100, 3, TRUE)</f>
        <v>0</v>
      </c>
    </row>
    <row r="822" spans="7:11">
      <c r="G822">
        <v>16</v>
      </c>
      <c r="H822">
        <v>19</v>
      </c>
      <c r="I822" s="2">
        <f>INT(DATE($B$3,1,1) + (16+0.5)*365/50)</f>
        <v>0</v>
      </c>
      <c r="J822" s="2">
        <f>I822 - INT(ROUND($B$4 * 30.4375, 0) * (19+0.5)/50)</f>
        <v>0</v>
      </c>
      <c r="K822" s="4">
        <f>VLOOKUP(J822, '1_Rate_Changes'!$A$2:$C$100, 3, TRUE)</f>
        <v>0</v>
      </c>
    </row>
    <row r="823" spans="7:11">
      <c r="G823">
        <v>16</v>
      </c>
      <c r="H823">
        <v>20</v>
      </c>
      <c r="I823" s="2">
        <f>INT(DATE($B$3,1,1) + (16+0.5)*365/50)</f>
        <v>0</v>
      </c>
      <c r="J823" s="2">
        <f>I823 - INT(ROUND($B$4 * 30.4375, 0) * (20+0.5)/50)</f>
        <v>0</v>
      </c>
      <c r="K823" s="4">
        <f>VLOOKUP(J823, '1_Rate_Changes'!$A$2:$C$100, 3, TRUE)</f>
        <v>0</v>
      </c>
    </row>
    <row r="824" spans="7:11">
      <c r="G824">
        <v>16</v>
      </c>
      <c r="H824">
        <v>21</v>
      </c>
      <c r="I824" s="2">
        <f>INT(DATE($B$3,1,1) + (16+0.5)*365/50)</f>
        <v>0</v>
      </c>
      <c r="J824" s="2">
        <f>I824 - INT(ROUND($B$4 * 30.4375, 0) * (21+0.5)/50)</f>
        <v>0</v>
      </c>
      <c r="K824" s="4">
        <f>VLOOKUP(J824, '1_Rate_Changes'!$A$2:$C$100, 3, TRUE)</f>
        <v>0</v>
      </c>
    </row>
    <row r="825" spans="7:11">
      <c r="G825">
        <v>16</v>
      </c>
      <c r="H825">
        <v>22</v>
      </c>
      <c r="I825" s="2">
        <f>INT(DATE($B$3,1,1) + (16+0.5)*365/50)</f>
        <v>0</v>
      </c>
      <c r="J825" s="2">
        <f>I825 - INT(ROUND($B$4 * 30.4375, 0) * (22+0.5)/50)</f>
        <v>0</v>
      </c>
      <c r="K825" s="4">
        <f>VLOOKUP(J825, '1_Rate_Changes'!$A$2:$C$100, 3, TRUE)</f>
        <v>0</v>
      </c>
    </row>
    <row r="826" spans="7:11">
      <c r="G826">
        <v>16</v>
      </c>
      <c r="H826">
        <v>23</v>
      </c>
      <c r="I826" s="2">
        <f>INT(DATE($B$3,1,1) + (16+0.5)*365/50)</f>
        <v>0</v>
      </c>
      <c r="J826" s="2">
        <f>I826 - INT(ROUND($B$4 * 30.4375, 0) * (23+0.5)/50)</f>
        <v>0</v>
      </c>
      <c r="K826" s="4">
        <f>VLOOKUP(J826, '1_Rate_Changes'!$A$2:$C$100, 3, TRUE)</f>
        <v>0</v>
      </c>
    </row>
    <row r="827" spans="7:11">
      <c r="G827">
        <v>16</v>
      </c>
      <c r="H827">
        <v>24</v>
      </c>
      <c r="I827" s="2">
        <f>INT(DATE($B$3,1,1) + (16+0.5)*365/50)</f>
        <v>0</v>
      </c>
      <c r="J827" s="2">
        <f>I827 - INT(ROUND($B$4 * 30.4375, 0) * (24+0.5)/50)</f>
        <v>0</v>
      </c>
      <c r="K827" s="4">
        <f>VLOOKUP(J827, '1_Rate_Changes'!$A$2:$C$100, 3, TRUE)</f>
        <v>0</v>
      </c>
    </row>
    <row r="828" spans="7:11">
      <c r="G828">
        <v>16</v>
      </c>
      <c r="H828">
        <v>25</v>
      </c>
      <c r="I828" s="2">
        <f>INT(DATE($B$3,1,1) + (16+0.5)*365/50)</f>
        <v>0</v>
      </c>
      <c r="J828" s="2">
        <f>I828 - INT(ROUND($B$4 * 30.4375, 0) * (25+0.5)/50)</f>
        <v>0</v>
      </c>
      <c r="K828" s="4">
        <f>VLOOKUP(J828, '1_Rate_Changes'!$A$2:$C$100, 3, TRUE)</f>
        <v>0</v>
      </c>
    </row>
    <row r="829" spans="7:11">
      <c r="G829">
        <v>16</v>
      </c>
      <c r="H829">
        <v>26</v>
      </c>
      <c r="I829" s="2">
        <f>INT(DATE($B$3,1,1) + (16+0.5)*365/50)</f>
        <v>0</v>
      </c>
      <c r="J829" s="2">
        <f>I829 - INT(ROUND($B$4 * 30.4375, 0) * (26+0.5)/50)</f>
        <v>0</v>
      </c>
      <c r="K829" s="4">
        <f>VLOOKUP(J829, '1_Rate_Changes'!$A$2:$C$100, 3, TRUE)</f>
        <v>0</v>
      </c>
    </row>
    <row r="830" spans="7:11">
      <c r="G830">
        <v>16</v>
      </c>
      <c r="H830">
        <v>27</v>
      </c>
      <c r="I830" s="2">
        <f>INT(DATE($B$3,1,1) + (16+0.5)*365/50)</f>
        <v>0</v>
      </c>
      <c r="J830" s="2">
        <f>I830 - INT(ROUND($B$4 * 30.4375, 0) * (27+0.5)/50)</f>
        <v>0</v>
      </c>
      <c r="K830" s="4">
        <f>VLOOKUP(J830, '1_Rate_Changes'!$A$2:$C$100, 3, TRUE)</f>
        <v>0</v>
      </c>
    </row>
    <row r="831" spans="7:11">
      <c r="G831">
        <v>16</v>
      </c>
      <c r="H831">
        <v>28</v>
      </c>
      <c r="I831" s="2">
        <f>INT(DATE($B$3,1,1) + (16+0.5)*365/50)</f>
        <v>0</v>
      </c>
      <c r="J831" s="2">
        <f>I831 - INT(ROUND($B$4 * 30.4375, 0) * (28+0.5)/50)</f>
        <v>0</v>
      </c>
      <c r="K831" s="4">
        <f>VLOOKUP(J831, '1_Rate_Changes'!$A$2:$C$100, 3, TRUE)</f>
        <v>0</v>
      </c>
    </row>
    <row r="832" spans="7:11">
      <c r="G832">
        <v>16</v>
      </c>
      <c r="H832">
        <v>29</v>
      </c>
      <c r="I832" s="2">
        <f>INT(DATE($B$3,1,1) + (16+0.5)*365/50)</f>
        <v>0</v>
      </c>
      <c r="J832" s="2">
        <f>I832 - INT(ROUND($B$4 * 30.4375, 0) * (29+0.5)/50)</f>
        <v>0</v>
      </c>
      <c r="K832" s="4">
        <f>VLOOKUP(J832, '1_Rate_Changes'!$A$2:$C$100, 3, TRUE)</f>
        <v>0</v>
      </c>
    </row>
    <row r="833" spans="7:11">
      <c r="G833">
        <v>16</v>
      </c>
      <c r="H833">
        <v>30</v>
      </c>
      <c r="I833" s="2">
        <f>INT(DATE($B$3,1,1) + (16+0.5)*365/50)</f>
        <v>0</v>
      </c>
      <c r="J833" s="2">
        <f>I833 - INT(ROUND($B$4 * 30.4375, 0) * (30+0.5)/50)</f>
        <v>0</v>
      </c>
      <c r="K833" s="4">
        <f>VLOOKUP(J833, '1_Rate_Changes'!$A$2:$C$100, 3, TRUE)</f>
        <v>0</v>
      </c>
    </row>
    <row r="834" spans="7:11">
      <c r="G834">
        <v>16</v>
      </c>
      <c r="H834">
        <v>31</v>
      </c>
      <c r="I834" s="2">
        <f>INT(DATE($B$3,1,1) + (16+0.5)*365/50)</f>
        <v>0</v>
      </c>
      <c r="J834" s="2">
        <f>I834 - INT(ROUND($B$4 * 30.4375, 0) * (31+0.5)/50)</f>
        <v>0</v>
      </c>
      <c r="K834" s="4">
        <f>VLOOKUP(J834, '1_Rate_Changes'!$A$2:$C$100, 3, TRUE)</f>
        <v>0</v>
      </c>
    </row>
    <row r="835" spans="7:11">
      <c r="G835">
        <v>16</v>
      </c>
      <c r="H835">
        <v>32</v>
      </c>
      <c r="I835" s="2">
        <f>INT(DATE($B$3,1,1) + (16+0.5)*365/50)</f>
        <v>0</v>
      </c>
      <c r="J835" s="2">
        <f>I835 - INT(ROUND($B$4 * 30.4375, 0) * (32+0.5)/50)</f>
        <v>0</v>
      </c>
      <c r="K835" s="4">
        <f>VLOOKUP(J835, '1_Rate_Changes'!$A$2:$C$100, 3, TRUE)</f>
        <v>0</v>
      </c>
    </row>
    <row r="836" spans="7:11">
      <c r="G836">
        <v>16</v>
      </c>
      <c r="H836">
        <v>33</v>
      </c>
      <c r="I836" s="2">
        <f>INT(DATE($B$3,1,1) + (16+0.5)*365/50)</f>
        <v>0</v>
      </c>
      <c r="J836" s="2">
        <f>I836 - INT(ROUND($B$4 * 30.4375, 0) * (33+0.5)/50)</f>
        <v>0</v>
      </c>
      <c r="K836" s="4">
        <f>VLOOKUP(J836, '1_Rate_Changes'!$A$2:$C$100, 3, TRUE)</f>
        <v>0</v>
      </c>
    </row>
    <row r="837" spans="7:11">
      <c r="G837">
        <v>16</v>
      </c>
      <c r="H837">
        <v>34</v>
      </c>
      <c r="I837" s="2">
        <f>INT(DATE($B$3,1,1) + (16+0.5)*365/50)</f>
        <v>0</v>
      </c>
      <c r="J837" s="2">
        <f>I837 - INT(ROUND($B$4 * 30.4375, 0) * (34+0.5)/50)</f>
        <v>0</v>
      </c>
      <c r="K837" s="4">
        <f>VLOOKUP(J837, '1_Rate_Changes'!$A$2:$C$100, 3, TRUE)</f>
        <v>0</v>
      </c>
    </row>
    <row r="838" spans="7:11">
      <c r="G838">
        <v>16</v>
      </c>
      <c r="H838">
        <v>35</v>
      </c>
      <c r="I838" s="2">
        <f>INT(DATE($B$3,1,1) + (16+0.5)*365/50)</f>
        <v>0</v>
      </c>
      <c r="J838" s="2">
        <f>I838 - INT(ROUND($B$4 * 30.4375, 0) * (35+0.5)/50)</f>
        <v>0</v>
      </c>
      <c r="K838" s="4">
        <f>VLOOKUP(J838, '1_Rate_Changes'!$A$2:$C$100, 3, TRUE)</f>
        <v>0</v>
      </c>
    </row>
    <row r="839" spans="7:11">
      <c r="G839">
        <v>16</v>
      </c>
      <c r="H839">
        <v>36</v>
      </c>
      <c r="I839" s="2">
        <f>INT(DATE($B$3,1,1) + (16+0.5)*365/50)</f>
        <v>0</v>
      </c>
      <c r="J839" s="2">
        <f>I839 - INT(ROUND($B$4 * 30.4375, 0) * (36+0.5)/50)</f>
        <v>0</v>
      </c>
      <c r="K839" s="4">
        <f>VLOOKUP(J839, '1_Rate_Changes'!$A$2:$C$100, 3, TRUE)</f>
        <v>0</v>
      </c>
    </row>
    <row r="840" spans="7:11">
      <c r="G840">
        <v>16</v>
      </c>
      <c r="H840">
        <v>37</v>
      </c>
      <c r="I840" s="2">
        <f>INT(DATE($B$3,1,1) + (16+0.5)*365/50)</f>
        <v>0</v>
      </c>
      <c r="J840" s="2">
        <f>I840 - INT(ROUND($B$4 * 30.4375, 0) * (37+0.5)/50)</f>
        <v>0</v>
      </c>
      <c r="K840" s="4">
        <f>VLOOKUP(J840, '1_Rate_Changes'!$A$2:$C$100, 3, TRUE)</f>
        <v>0</v>
      </c>
    </row>
    <row r="841" spans="7:11">
      <c r="G841">
        <v>16</v>
      </c>
      <c r="H841">
        <v>38</v>
      </c>
      <c r="I841" s="2">
        <f>INT(DATE($B$3,1,1) + (16+0.5)*365/50)</f>
        <v>0</v>
      </c>
      <c r="J841" s="2">
        <f>I841 - INT(ROUND($B$4 * 30.4375, 0) * (38+0.5)/50)</f>
        <v>0</v>
      </c>
      <c r="K841" s="4">
        <f>VLOOKUP(J841, '1_Rate_Changes'!$A$2:$C$100, 3, TRUE)</f>
        <v>0</v>
      </c>
    </row>
    <row r="842" spans="7:11">
      <c r="G842">
        <v>16</v>
      </c>
      <c r="H842">
        <v>39</v>
      </c>
      <c r="I842" s="2">
        <f>INT(DATE($B$3,1,1) + (16+0.5)*365/50)</f>
        <v>0</v>
      </c>
      <c r="J842" s="2">
        <f>I842 - INT(ROUND($B$4 * 30.4375, 0) * (39+0.5)/50)</f>
        <v>0</v>
      </c>
      <c r="K842" s="4">
        <f>VLOOKUP(J842, '1_Rate_Changes'!$A$2:$C$100, 3, TRUE)</f>
        <v>0</v>
      </c>
    </row>
    <row r="843" spans="7:11">
      <c r="G843">
        <v>16</v>
      </c>
      <c r="H843">
        <v>40</v>
      </c>
      <c r="I843" s="2">
        <f>INT(DATE($B$3,1,1) + (16+0.5)*365/50)</f>
        <v>0</v>
      </c>
      <c r="J843" s="2">
        <f>I843 - INT(ROUND($B$4 * 30.4375, 0) * (40+0.5)/50)</f>
        <v>0</v>
      </c>
      <c r="K843" s="4">
        <f>VLOOKUP(J843, '1_Rate_Changes'!$A$2:$C$100, 3, TRUE)</f>
        <v>0</v>
      </c>
    </row>
    <row r="844" spans="7:11">
      <c r="G844">
        <v>16</v>
      </c>
      <c r="H844">
        <v>41</v>
      </c>
      <c r="I844" s="2">
        <f>INT(DATE($B$3,1,1) + (16+0.5)*365/50)</f>
        <v>0</v>
      </c>
      <c r="J844" s="2">
        <f>I844 - INT(ROUND($B$4 * 30.4375, 0) * (41+0.5)/50)</f>
        <v>0</v>
      </c>
      <c r="K844" s="4">
        <f>VLOOKUP(J844, '1_Rate_Changes'!$A$2:$C$100, 3, TRUE)</f>
        <v>0</v>
      </c>
    </row>
    <row r="845" spans="7:11">
      <c r="G845">
        <v>16</v>
      </c>
      <c r="H845">
        <v>42</v>
      </c>
      <c r="I845" s="2">
        <f>INT(DATE($B$3,1,1) + (16+0.5)*365/50)</f>
        <v>0</v>
      </c>
      <c r="J845" s="2">
        <f>I845 - INT(ROUND($B$4 * 30.4375, 0) * (42+0.5)/50)</f>
        <v>0</v>
      </c>
      <c r="K845" s="4">
        <f>VLOOKUP(J845, '1_Rate_Changes'!$A$2:$C$100, 3, TRUE)</f>
        <v>0</v>
      </c>
    </row>
    <row r="846" spans="7:11">
      <c r="G846">
        <v>16</v>
      </c>
      <c r="H846">
        <v>43</v>
      </c>
      <c r="I846" s="2">
        <f>INT(DATE($B$3,1,1) + (16+0.5)*365/50)</f>
        <v>0</v>
      </c>
      <c r="J846" s="2">
        <f>I846 - INT(ROUND($B$4 * 30.4375, 0) * (43+0.5)/50)</f>
        <v>0</v>
      </c>
      <c r="K846" s="4">
        <f>VLOOKUP(J846, '1_Rate_Changes'!$A$2:$C$100, 3, TRUE)</f>
        <v>0</v>
      </c>
    </row>
    <row r="847" spans="7:11">
      <c r="G847">
        <v>16</v>
      </c>
      <c r="H847">
        <v>44</v>
      </c>
      <c r="I847" s="2">
        <f>INT(DATE($B$3,1,1) + (16+0.5)*365/50)</f>
        <v>0</v>
      </c>
      <c r="J847" s="2">
        <f>I847 - INT(ROUND($B$4 * 30.4375, 0) * (44+0.5)/50)</f>
        <v>0</v>
      </c>
      <c r="K847" s="4">
        <f>VLOOKUP(J847, '1_Rate_Changes'!$A$2:$C$100, 3, TRUE)</f>
        <v>0</v>
      </c>
    </row>
    <row r="848" spans="7:11">
      <c r="G848">
        <v>16</v>
      </c>
      <c r="H848">
        <v>45</v>
      </c>
      <c r="I848" s="2">
        <f>INT(DATE($B$3,1,1) + (16+0.5)*365/50)</f>
        <v>0</v>
      </c>
      <c r="J848" s="2">
        <f>I848 - INT(ROUND($B$4 * 30.4375, 0) * (45+0.5)/50)</f>
        <v>0</v>
      </c>
      <c r="K848" s="4">
        <f>VLOOKUP(J848, '1_Rate_Changes'!$A$2:$C$100, 3, TRUE)</f>
        <v>0</v>
      </c>
    </row>
    <row r="849" spans="7:11">
      <c r="G849">
        <v>16</v>
      </c>
      <c r="H849">
        <v>46</v>
      </c>
      <c r="I849" s="2">
        <f>INT(DATE($B$3,1,1) + (16+0.5)*365/50)</f>
        <v>0</v>
      </c>
      <c r="J849" s="2">
        <f>I849 - INT(ROUND($B$4 * 30.4375, 0) * (46+0.5)/50)</f>
        <v>0</v>
      </c>
      <c r="K849" s="4">
        <f>VLOOKUP(J849, '1_Rate_Changes'!$A$2:$C$100, 3, TRUE)</f>
        <v>0</v>
      </c>
    </row>
    <row r="850" spans="7:11">
      <c r="G850">
        <v>16</v>
      </c>
      <c r="H850">
        <v>47</v>
      </c>
      <c r="I850" s="2">
        <f>INT(DATE($B$3,1,1) + (16+0.5)*365/50)</f>
        <v>0</v>
      </c>
      <c r="J850" s="2">
        <f>I850 - INT(ROUND($B$4 * 30.4375, 0) * (47+0.5)/50)</f>
        <v>0</v>
      </c>
      <c r="K850" s="4">
        <f>VLOOKUP(J850, '1_Rate_Changes'!$A$2:$C$100, 3, TRUE)</f>
        <v>0</v>
      </c>
    </row>
    <row r="851" spans="7:11">
      <c r="G851">
        <v>16</v>
      </c>
      <c r="H851">
        <v>48</v>
      </c>
      <c r="I851" s="2">
        <f>INT(DATE($B$3,1,1) + (16+0.5)*365/50)</f>
        <v>0</v>
      </c>
      <c r="J851" s="2">
        <f>I851 - INT(ROUND($B$4 * 30.4375, 0) * (48+0.5)/50)</f>
        <v>0</v>
      </c>
      <c r="K851" s="4">
        <f>VLOOKUP(J851, '1_Rate_Changes'!$A$2:$C$100, 3, TRUE)</f>
        <v>0</v>
      </c>
    </row>
    <row r="852" spans="7:11">
      <c r="G852">
        <v>16</v>
      </c>
      <c r="H852">
        <v>49</v>
      </c>
      <c r="I852" s="2">
        <f>INT(DATE($B$3,1,1) + (16+0.5)*365/50)</f>
        <v>0</v>
      </c>
      <c r="J852" s="2">
        <f>I852 - INT(ROUND($B$4 * 30.4375, 0) * (49+0.5)/50)</f>
        <v>0</v>
      </c>
      <c r="K852" s="4">
        <f>VLOOKUP(J852, '1_Rate_Changes'!$A$2:$C$100, 3, TRUE)</f>
        <v>0</v>
      </c>
    </row>
    <row r="853" spans="7:11">
      <c r="G853">
        <v>17</v>
      </c>
      <c r="H853">
        <v>0</v>
      </c>
      <c r="I853" s="2">
        <f>INT(DATE($B$3,1,1) + (17+0.5)*365/50)</f>
        <v>0</v>
      </c>
      <c r="J853" s="2">
        <f>I853 - INT(ROUND($B$4 * 30.4375, 0) * (0+0.5)/50)</f>
        <v>0</v>
      </c>
      <c r="K853" s="4">
        <f>VLOOKUP(J853, '1_Rate_Changes'!$A$2:$C$100, 3, TRUE)</f>
        <v>0</v>
      </c>
    </row>
    <row r="854" spans="7:11">
      <c r="G854">
        <v>17</v>
      </c>
      <c r="H854">
        <v>1</v>
      </c>
      <c r="I854" s="2">
        <f>INT(DATE($B$3,1,1) + (17+0.5)*365/50)</f>
        <v>0</v>
      </c>
      <c r="J854" s="2">
        <f>I854 - INT(ROUND($B$4 * 30.4375, 0) * (1+0.5)/50)</f>
        <v>0</v>
      </c>
      <c r="K854" s="4">
        <f>VLOOKUP(J854, '1_Rate_Changes'!$A$2:$C$100, 3, TRUE)</f>
        <v>0</v>
      </c>
    </row>
    <row r="855" spans="7:11">
      <c r="G855">
        <v>17</v>
      </c>
      <c r="H855">
        <v>2</v>
      </c>
      <c r="I855" s="2">
        <f>INT(DATE($B$3,1,1) + (17+0.5)*365/50)</f>
        <v>0</v>
      </c>
      <c r="J855" s="2">
        <f>I855 - INT(ROUND($B$4 * 30.4375, 0) * (2+0.5)/50)</f>
        <v>0</v>
      </c>
      <c r="K855" s="4">
        <f>VLOOKUP(J855, '1_Rate_Changes'!$A$2:$C$100, 3, TRUE)</f>
        <v>0</v>
      </c>
    </row>
    <row r="856" spans="7:11">
      <c r="G856">
        <v>17</v>
      </c>
      <c r="H856">
        <v>3</v>
      </c>
      <c r="I856" s="2">
        <f>INT(DATE($B$3,1,1) + (17+0.5)*365/50)</f>
        <v>0</v>
      </c>
      <c r="J856" s="2">
        <f>I856 - INT(ROUND($B$4 * 30.4375, 0) * (3+0.5)/50)</f>
        <v>0</v>
      </c>
      <c r="K856" s="4">
        <f>VLOOKUP(J856, '1_Rate_Changes'!$A$2:$C$100, 3, TRUE)</f>
        <v>0</v>
      </c>
    </row>
    <row r="857" spans="7:11">
      <c r="G857">
        <v>17</v>
      </c>
      <c r="H857">
        <v>4</v>
      </c>
      <c r="I857" s="2">
        <f>INT(DATE($B$3,1,1) + (17+0.5)*365/50)</f>
        <v>0</v>
      </c>
      <c r="J857" s="2">
        <f>I857 - INT(ROUND($B$4 * 30.4375, 0) * (4+0.5)/50)</f>
        <v>0</v>
      </c>
      <c r="K857" s="4">
        <f>VLOOKUP(J857, '1_Rate_Changes'!$A$2:$C$100, 3, TRUE)</f>
        <v>0</v>
      </c>
    </row>
    <row r="858" spans="7:11">
      <c r="G858">
        <v>17</v>
      </c>
      <c r="H858">
        <v>5</v>
      </c>
      <c r="I858" s="2">
        <f>INT(DATE($B$3,1,1) + (17+0.5)*365/50)</f>
        <v>0</v>
      </c>
      <c r="J858" s="2">
        <f>I858 - INT(ROUND($B$4 * 30.4375, 0) * (5+0.5)/50)</f>
        <v>0</v>
      </c>
      <c r="K858" s="4">
        <f>VLOOKUP(J858, '1_Rate_Changes'!$A$2:$C$100, 3, TRUE)</f>
        <v>0</v>
      </c>
    </row>
    <row r="859" spans="7:11">
      <c r="G859">
        <v>17</v>
      </c>
      <c r="H859">
        <v>6</v>
      </c>
      <c r="I859" s="2">
        <f>INT(DATE($B$3,1,1) + (17+0.5)*365/50)</f>
        <v>0</v>
      </c>
      <c r="J859" s="2">
        <f>I859 - INT(ROUND($B$4 * 30.4375, 0) * (6+0.5)/50)</f>
        <v>0</v>
      </c>
      <c r="K859" s="4">
        <f>VLOOKUP(J859, '1_Rate_Changes'!$A$2:$C$100, 3, TRUE)</f>
        <v>0</v>
      </c>
    </row>
    <row r="860" spans="7:11">
      <c r="G860">
        <v>17</v>
      </c>
      <c r="H860">
        <v>7</v>
      </c>
      <c r="I860" s="2">
        <f>INT(DATE($B$3,1,1) + (17+0.5)*365/50)</f>
        <v>0</v>
      </c>
      <c r="J860" s="2">
        <f>I860 - INT(ROUND($B$4 * 30.4375, 0) * (7+0.5)/50)</f>
        <v>0</v>
      </c>
      <c r="K860" s="4">
        <f>VLOOKUP(J860, '1_Rate_Changes'!$A$2:$C$100, 3, TRUE)</f>
        <v>0</v>
      </c>
    </row>
    <row r="861" spans="7:11">
      <c r="G861">
        <v>17</v>
      </c>
      <c r="H861">
        <v>8</v>
      </c>
      <c r="I861" s="2">
        <f>INT(DATE($B$3,1,1) + (17+0.5)*365/50)</f>
        <v>0</v>
      </c>
      <c r="J861" s="2">
        <f>I861 - INT(ROUND($B$4 * 30.4375, 0) * (8+0.5)/50)</f>
        <v>0</v>
      </c>
      <c r="K861" s="4">
        <f>VLOOKUP(J861, '1_Rate_Changes'!$A$2:$C$100, 3, TRUE)</f>
        <v>0</v>
      </c>
    </row>
    <row r="862" spans="7:11">
      <c r="G862">
        <v>17</v>
      </c>
      <c r="H862">
        <v>9</v>
      </c>
      <c r="I862" s="2">
        <f>INT(DATE($B$3,1,1) + (17+0.5)*365/50)</f>
        <v>0</v>
      </c>
      <c r="J862" s="2">
        <f>I862 - INT(ROUND($B$4 * 30.4375, 0) * (9+0.5)/50)</f>
        <v>0</v>
      </c>
      <c r="K862" s="4">
        <f>VLOOKUP(J862, '1_Rate_Changes'!$A$2:$C$100, 3, TRUE)</f>
        <v>0</v>
      </c>
    </row>
    <row r="863" spans="7:11">
      <c r="G863">
        <v>17</v>
      </c>
      <c r="H863">
        <v>10</v>
      </c>
      <c r="I863" s="2">
        <f>INT(DATE($B$3,1,1) + (17+0.5)*365/50)</f>
        <v>0</v>
      </c>
      <c r="J863" s="2">
        <f>I863 - INT(ROUND($B$4 * 30.4375, 0) * (10+0.5)/50)</f>
        <v>0</v>
      </c>
      <c r="K863" s="4">
        <f>VLOOKUP(J863, '1_Rate_Changes'!$A$2:$C$100, 3, TRUE)</f>
        <v>0</v>
      </c>
    </row>
    <row r="864" spans="7:11">
      <c r="G864">
        <v>17</v>
      </c>
      <c r="H864">
        <v>11</v>
      </c>
      <c r="I864" s="2">
        <f>INT(DATE($B$3,1,1) + (17+0.5)*365/50)</f>
        <v>0</v>
      </c>
      <c r="J864" s="2">
        <f>I864 - INT(ROUND($B$4 * 30.4375, 0) * (11+0.5)/50)</f>
        <v>0</v>
      </c>
      <c r="K864" s="4">
        <f>VLOOKUP(J864, '1_Rate_Changes'!$A$2:$C$100, 3, TRUE)</f>
        <v>0</v>
      </c>
    </row>
    <row r="865" spans="7:11">
      <c r="G865">
        <v>17</v>
      </c>
      <c r="H865">
        <v>12</v>
      </c>
      <c r="I865" s="2">
        <f>INT(DATE($B$3,1,1) + (17+0.5)*365/50)</f>
        <v>0</v>
      </c>
      <c r="J865" s="2">
        <f>I865 - INT(ROUND($B$4 * 30.4375, 0) * (12+0.5)/50)</f>
        <v>0</v>
      </c>
      <c r="K865" s="4">
        <f>VLOOKUP(J865, '1_Rate_Changes'!$A$2:$C$100, 3, TRUE)</f>
        <v>0</v>
      </c>
    </row>
    <row r="866" spans="7:11">
      <c r="G866">
        <v>17</v>
      </c>
      <c r="H866">
        <v>13</v>
      </c>
      <c r="I866" s="2">
        <f>INT(DATE($B$3,1,1) + (17+0.5)*365/50)</f>
        <v>0</v>
      </c>
      <c r="J866" s="2">
        <f>I866 - INT(ROUND($B$4 * 30.4375, 0) * (13+0.5)/50)</f>
        <v>0</v>
      </c>
      <c r="K866" s="4">
        <f>VLOOKUP(J866, '1_Rate_Changes'!$A$2:$C$100, 3, TRUE)</f>
        <v>0</v>
      </c>
    </row>
    <row r="867" spans="7:11">
      <c r="G867">
        <v>17</v>
      </c>
      <c r="H867">
        <v>14</v>
      </c>
      <c r="I867" s="2">
        <f>INT(DATE($B$3,1,1) + (17+0.5)*365/50)</f>
        <v>0</v>
      </c>
      <c r="J867" s="2">
        <f>I867 - INT(ROUND($B$4 * 30.4375, 0) * (14+0.5)/50)</f>
        <v>0</v>
      </c>
      <c r="K867" s="4">
        <f>VLOOKUP(J867, '1_Rate_Changes'!$A$2:$C$100, 3, TRUE)</f>
        <v>0</v>
      </c>
    </row>
    <row r="868" spans="7:11">
      <c r="G868">
        <v>17</v>
      </c>
      <c r="H868">
        <v>15</v>
      </c>
      <c r="I868" s="2">
        <f>INT(DATE($B$3,1,1) + (17+0.5)*365/50)</f>
        <v>0</v>
      </c>
      <c r="J868" s="2">
        <f>I868 - INT(ROUND($B$4 * 30.4375, 0) * (15+0.5)/50)</f>
        <v>0</v>
      </c>
      <c r="K868" s="4">
        <f>VLOOKUP(J868, '1_Rate_Changes'!$A$2:$C$100, 3, TRUE)</f>
        <v>0</v>
      </c>
    </row>
    <row r="869" spans="7:11">
      <c r="G869">
        <v>17</v>
      </c>
      <c r="H869">
        <v>16</v>
      </c>
      <c r="I869" s="2">
        <f>INT(DATE($B$3,1,1) + (17+0.5)*365/50)</f>
        <v>0</v>
      </c>
      <c r="J869" s="2">
        <f>I869 - INT(ROUND($B$4 * 30.4375, 0) * (16+0.5)/50)</f>
        <v>0</v>
      </c>
      <c r="K869" s="4">
        <f>VLOOKUP(J869, '1_Rate_Changes'!$A$2:$C$100, 3, TRUE)</f>
        <v>0</v>
      </c>
    </row>
    <row r="870" spans="7:11">
      <c r="G870">
        <v>17</v>
      </c>
      <c r="H870">
        <v>17</v>
      </c>
      <c r="I870" s="2">
        <f>INT(DATE($B$3,1,1) + (17+0.5)*365/50)</f>
        <v>0</v>
      </c>
      <c r="J870" s="2">
        <f>I870 - INT(ROUND($B$4 * 30.4375, 0) * (17+0.5)/50)</f>
        <v>0</v>
      </c>
      <c r="K870" s="4">
        <f>VLOOKUP(J870, '1_Rate_Changes'!$A$2:$C$100, 3, TRUE)</f>
        <v>0</v>
      </c>
    </row>
    <row r="871" spans="7:11">
      <c r="G871">
        <v>17</v>
      </c>
      <c r="H871">
        <v>18</v>
      </c>
      <c r="I871" s="2">
        <f>INT(DATE($B$3,1,1) + (17+0.5)*365/50)</f>
        <v>0</v>
      </c>
      <c r="J871" s="2">
        <f>I871 - INT(ROUND($B$4 * 30.4375, 0) * (18+0.5)/50)</f>
        <v>0</v>
      </c>
      <c r="K871" s="4">
        <f>VLOOKUP(J871, '1_Rate_Changes'!$A$2:$C$100, 3, TRUE)</f>
        <v>0</v>
      </c>
    </row>
    <row r="872" spans="7:11">
      <c r="G872">
        <v>17</v>
      </c>
      <c r="H872">
        <v>19</v>
      </c>
      <c r="I872" s="2">
        <f>INT(DATE($B$3,1,1) + (17+0.5)*365/50)</f>
        <v>0</v>
      </c>
      <c r="J872" s="2">
        <f>I872 - INT(ROUND($B$4 * 30.4375, 0) * (19+0.5)/50)</f>
        <v>0</v>
      </c>
      <c r="K872" s="4">
        <f>VLOOKUP(J872, '1_Rate_Changes'!$A$2:$C$100, 3, TRUE)</f>
        <v>0</v>
      </c>
    </row>
    <row r="873" spans="7:11">
      <c r="G873">
        <v>17</v>
      </c>
      <c r="H873">
        <v>20</v>
      </c>
      <c r="I873" s="2">
        <f>INT(DATE($B$3,1,1) + (17+0.5)*365/50)</f>
        <v>0</v>
      </c>
      <c r="J873" s="2">
        <f>I873 - INT(ROUND($B$4 * 30.4375, 0) * (20+0.5)/50)</f>
        <v>0</v>
      </c>
      <c r="K873" s="4">
        <f>VLOOKUP(J873, '1_Rate_Changes'!$A$2:$C$100, 3, TRUE)</f>
        <v>0</v>
      </c>
    </row>
    <row r="874" spans="7:11">
      <c r="G874">
        <v>17</v>
      </c>
      <c r="H874">
        <v>21</v>
      </c>
      <c r="I874" s="2">
        <f>INT(DATE($B$3,1,1) + (17+0.5)*365/50)</f>
        <v>0</v>
      </c>
      <c r="J874" s="2">
        <f>I874 - INT(ROUND($B$4 * 30.4375, 0) * (21+0.5)/50)</f>
        <v>0</v>
      </c>
      <c r="K874" s="4">
        <f>VLOOKUP(J874, '1_Rate_Changes'!$A$2:$C$100, 3, TRUE)</f>
        <v>0</v>
      </c>
    </row>
    <row r="875" spans="7:11">
      <c r="G875">
        <v>17</v>
      </c>
      <c r="H875">
        <v>22</v>
      </c>
      <c r="I875" s="2">
        <f>INT(DATE($B$3,1,1) + (17+0.5)*365/50)</f>
        <v>0</v>
      </c>
      <c r="J875" s="2">
        <f>I875 - INT(ROUND($B$4 * 30.4375, 0) * (22+0.5)/50)</f>
        <v>0</v>
      </c>
      <c r="K875" s="4">
        <f>VLOOKUP(J875, '1_Rate_Changes'!$A$2:$C$100, 3, TRUE)</f>
        <v>0</v>
      </c>
    </row>
    <row r="876" spans="7:11">
      <c r="G876">
        <v>17</v>
      </c>
      <c r="H876">
        <v>23</v>
      </c>
      <c r="I876" s="2">
        <f>INT(DATE($B$3,1,1) + (17+0.5)*365/50)</f>
        <v>0</v>
      </c>
      <c r="J876" s="2">
        <f>I876 - INT(ROUND($B$4 * 30.4375, 0) * (23+0.5)/50)</f>
        <v>0</v>
      </c>
      <c r="K876" s="4">
        <f>VLOOKUP(J876, '1_Rate_Changes'!$A$2:$C$100, 3, TRUE)</f>
        <v>0</v>
      </c>
    </row>
    <row r="877" spans="7:11">
      <c r="G877">
        <v>17</v>
      </c>
      <c r="H877">
        <v>24</v>
      </c>
      <c r="I877" s="2">
        <f>INT(DATE($B$3,1,1) + (17+0.5)*365/50)</f>
        <v>0</v>
      </c>
      <c r="J877" s="2">
        <f>I877 - INT(ROUND($B$4 * 30.4375, 0) * (24+0.5)/50)</f>
        <v>0</v>
      </c>
      <c r="K877" s="4">
        <f>VLOOKUP(J877, '1_Rate_Changes'!$A$2:$C$100, 3, TRUE)</f>
        <v>0</v>
      </c>
    </row>
    <row r="878" spans="7:11">
      <c r="G878">
        <v>17</v>
      </c>
      <c r="H878">
        <v>25</v>
      </c>
      <c r="I878" s="2">
        <f>INT(DATE($B$3,1,1) + (17+0.5)*365/50)</f>
        <v>0</v>
      </c>
      <c r="J878" s="2">
        <f>I878 - INT(ROUND($B$4 * 30.4375, 0) * (25+0.5)/50)</f>
        <v>0</v>
      </c>
      <c r="K878" s="4">
        <f>VLOOKUP(J878, '1_Rate_Changes'!$A$2:$C$100, 3, TRUE)</f>
        <v>0</v>
      </c>
    </row>
    <row r="879" spans="7:11">
      <c r="G879">
        <v>17</v>
      </c>
      <c r="H879">
        <v>26</v>
      </c>
      <c r="I879" s="2">
        <f>INT(DATE($B$3,1,1) + (17+0.5)*365/50)</f>
        <v>0</v>
      </c>
      <c r="J879" s="2">
        <f>I879 - INT(ROUND($B$4 * 30.4375, 0) * (26+0.5)/50)</f>
        <v>0</v>
      </c>
      <c r="K879" s="4">
        <f>VLOOKUP(J879, '1_Rate_Changes'!$A$2:$C$100, 3, TRUE)</f>
        <v>0</v>
      </c>
    </row>
    <row r="880" spans="7:11">
      <c r="G880">
        <v>17</v>
      </c>
      <c r="H880">
        <v>27</v>
      </c>
      <c r="I880" s="2">
        <f>INT(DATE($B$3,1,1) + (17+0.5)*365/50)</f>
        <v>0</v>
      </c>
      <c r="J880" s="2">
        <f>I880 - INT(ROUND($B$4 * 30.4375, 0) * (27+0.5)/50)</f>
        <v>0</v>
      </c>
      <c r="K880" s="4">
        <f>VLOOKUP(J880, '1_Rate_Changes'!$A$2:$C$100, 3, TRUE)</f>
        <v>0</v>
      </c>
    </row>
    <row r="881" spans="7:11">
      <c r="G881">
        <v>17</v>
      </c>
      <c r="H881">
        <v>28</v>
      </c>
      <c r="I881" s="2">
        <f>INT(DATE($B$3,1,1) + (17+0.5)*365/50)</f>
        <v>0</v>
      </c>
      <c r="J881" s="2">
        <f>I881 - INT(ROUND($B$4 * 30.4375, 0) * (28+0.5)/50)</f>
        <v>0</v>
      </c>
      <c r="K881" s="4">
        <f>VLOOKUP(J881, '1_Rate_Changes'!$A$2:$C$100, 3, TRUE)</f>
        <v>0</v>
      </c>
    </row>
    <row r="882" spans="7:11">
      <c r="G882">
        <v>17</v>
      </c>
      <c r="H882">
        <v>29</v>
      </c>
      <c r="I882" s="2">
        <f>INT(DATE($B$3,1,1) + (17+0.5)*365/50)</f>
        <v>0</v>
      </c>
      <c r="J882" s="2">
        <f>I882 - INT(ROUND($B$4 * 30.4375, 0) * (29+0.5)/50)</f>
        <v>0</v>
      </c>
      <c r="K882" s="4">
        <f>VLOOKUP(J882, '1_Rate_Changes'!$A$2:$C$100, 3, TRUE)</f>
        <v>0</v>
      </c>
    </row>
    <row r="883" spans="7:11">
      <c r="G883">
        <v>17</v>
      </c>
      <c r="H883">
        <v>30</v>
      </c>
      <c r="I883" s="2">
        <f>INT(DATE($B$3,1,1) + (17+0.5)*365/50)</f>
        <v>0</v>
      </c>
      <c r="J883" s="2">
        <f>I883 - INT(ROUND($B$4 * 30.4375, 0) * (30+0.5)/50)</f>
        <v>0</v>
      </c>
      <c r="K883" s="4">
        <f>VLOOKUP(J883, '1_Rate_Changes'!$A$2:$C$100, 3, TRUE)</f>
        <v>0</v>
      </c>
    </row>
    <row r="884" spans="7:11">
      <c r="G884">
        <v>17</v>
      </c>
      <c r="H884">
        <v>31</v>
      </c>
      <c r="I884" s="2">
        <f>INT(DATE($B$3,1,1) + (17+0.5)*365/50)</f>
        <v>0</v>
      </c>
      <c r="J884" s="2">
        <f>I884 - INT(ROUND($B$4 * 30.4375, 0) * (31+0.5)/50)</f>
        <v>0</v>
      </c>
      <c r="K884" s="4">
        <f>VLOOKUP(J884, '1_Rate_Changes'!$A$2:$C$100, 3, TRUE)</f>
        <v>0</v>
      </c>
    </row>
    <row r="885" spans="7:11">
      <c r="G885">
        <v>17</v>
      </c>
      <c r="H885">
        <v>32</v>
      </c>
      <c r="I885" s="2">
        <f>INT(DATE($B$3,1,1) + (17+0.5)*365/50)</f>
        <v>0</v>
      </c>
      <c r="J885" s="2">
        <f>I885 - INT(ROUND($B$4 * 30.4375, 0) * (32+0.5)/50)</f>
        <v>0</v>
      </c>
      <c r="K885" s="4">
        <f>VLOOKUP(J885, '1_Rate_Changes'!$A$2:$C$100, 3, TRUE)</f>
        <v>0</v>
      </c>
    </row>
    <row r="886" spans="7:11">
      <c r="G886">
        <v>17</v>
      </c>
      <c r="H886">
        <v>33</v>
      </c>
      <c r="I886" s="2">
        <f>INT(DATE($B$3,1,1) + (17+0.5)*365/50)</f>
        <v>0</v>
      </c>
      <c r="J886" s="2">
        <f>I886 - INT(ROUND($B$4 * 30.4375, 0) * (33+0.5)/50)</f>
        <v>0</v>
      </c>
      <c r="K886" s="4">
        <f>VLOOKUP(J886, '1_Rate_Changes'!$A$2:$C$100, 3, TRUE)</f>
        <v>0</v>
      </c>
    </row>
    <row r="887" spans="7:11">
      <c r="G887">
        <v>17</v>
      </c>
      <c r="H887">
        <v>34</v>
      </c>
      <c r="I887" s="2">
        <f>INT(DATE($B$3,1,1) + (17+0.5)*365/50)</f>
        <v>0</v>
      </c>
      <c r="J887" s="2">
        <f>I887 - INT(ROUND($B$4 * 30.4375, 0) * (34+0.5)/50)</f>
        <v>0</v>
      </c>
      <c r="K887" s="4">
        <f>VLOOKUP(J887, '1_Rate_Changes'!$A$2:$C$100, 3, TRUE)</f>
        <v>0</v>
      </c>
    </row>
    <row r="888" spans="7:11">
      <c r="G888">
        <v>17</v>
      </c>
      <c r="H888">
        <v>35</v>
      </c>
      <c r="I888" s="2">
        <f>INT(DATE($B$3,1,1) + (17+0.5)*365/50)</f>
        <v>0</v>
      </c>
      <c r="J888" s="2">
        <f>I888 - INT(ROUND($B$4 * 30.4375, 0) * (35+0.5)/50)</f>
        <v>0</v>
      </c>
      <c r="K888" s="4">
        <f>VLOOKUP(J888, '1_Rate_Changes'!$A$2:$C$100, 3, TRUE)</f>
        <v>0</v>
      </c>
    </row>
    <row r="889" spans="7:11">
      <c r="G889">
        <v>17</v>
      </c>
      <c r="H889">
        <v>36</v>
      </c>
      <c r="I889" s="2">
        <f>INT(DATE($B$3,1,1) + (17+0.5)*365/50)</f>
        <v>0</v>
      </c>
      <c r="J889" s="2">
        <f>I889 - INT(ROUND($B$4 * 30.4375, 0) * (36+0.5)/50)</f>
        <v>0</v>
      </c>
      <c r="K889" s="4">
        <f>VLOOKUP(J889, '1_Rate_Changes'!$A$2:$C$100, 3, TRUE)</f>
        <v>0</v>
      </c>
    </row>
    <row r="890" spans="7:11">
      <c r="G890">
        <v>17</v>
      </c>
      <c r="H890">
        <v>37</v>
      </c>
      <c r="I890" s="2">
        <f>INT(DATE($B$3,1,1) + (17+0.5)*365/50)</f>
        <v>0</v>
      </c>
      <c r="J890" s="2">
        <f>I890 - INT(ROUND($B$4 * 30.4375, 0) * (37+0.5)/50)</f>
        <v>0</v>
      </c>
      <c r="K890" s="4">
        <f>VLOOKUP(J890, '1_Rate_Changes'!$A$2:$C$100, 3, TRUE)</f>
        <v>0</v>
      </c>
    </row>
    <row r="891" spans="7:11">
      <c r="G891">
        <v>17</v>
      </c>
      <c r="H891">
        <v>38</v>
      </c>
      <c r="I891" s="2">
        <f>INT(DATE($B$3,1,1) + (17+0.5)*365/50)</f>
        <v>0</v>
      </c>
      <c r="J891" s="2">
        <f>I891 - INT(ROUND($B$4 * 30.4375, 0) * (38+0.5)/50)</f>
        <v>0</v>
      </c>
      <c r="K891" s="4">
        <f>VLOOKUP(J891, '1_Rate_Changes'!$A$2:$C$100, 3, TRUE)</f>
        <v>0</v>
      </c>
    </row>
    <row r="892" spans="7:11">
      <c r="G892">
        <v>17</v>
      </c>
      <c r="H892">
        <v>39</v>
      </c>
      <c r="I892" s="2">
        <f>INT(DATE($B$3,1,1) + (17+0.5)*365/50)</f>
        <v>0</v>
      </c>
      <c r="J892" s="2">
        <f>I892 - INT(ROUND($B$4 * 30.4375, 0) * (39+0.5)/50)</f>
        <v>0</v>
      </c>
      <c r="K892" s="4">
        <f>VLOOKUP(J892, '1_Rate_Changes'!$A$2:$C$100, 3, TRUE)</f>
        <v>0</v>
      </c>
    </row>
    <row r="893" spans="7:11">
      <c r="G893">
        <v>17</v>
      </c>
      <c r="H893">
        <v>40</v>
      </c>
      <c r="I893" s="2">
        <f>INT(DATE($B$3,1,1) + (17+0.5)*365/50)</f>
        <v>0</v>
      </c>
      <c r="J893" s="2">
        <f>I893 - INT(ROUND($B$4 * 30.4375, 0) * (40+0.5)/50)</f>
        <v>0</v>
      </c>
      <c r="K893" s="4">
        <f>VLOOKUP(J893, '1_Rate_Changes'!$A$2:$C$100, 3, TRUE)</f>
        <v>0</v>
      </c>
    </row>
    <row r="894" spans="7:11">
      <c r="G894">
        <v>17</v>
      </c>
      <c r="H894">
        <v>41</v>
      </c>
      <c r="I894" s="2">
        <f>INT(DATE($B$3,1,1) + (17+0.5)*365/50)</f>
        <v>0</v>
      </c>
      <c r="J894" s="2">
        <f>I894 - INT(ROUND($B$4 * 30.4375, 0) * (41+0.5)/50)</f>
        <v>0</v>
      </c>
      <c r="K894" s="4">
        <f>VLOOKUP(J894, '1_Rate_Changes'!$A$2:$C$100, 3, TRUE)</f>
        <v>0</v>
      </c>
    </row>
    <row r="895" spans="7:11">
      <c r="G895">
        <v>17</v>
      </c>
      <c r="H895">
        <v>42</v>
      </c>
      <c r="I895" s="2">
        <f>INT(DATE($B$3,1,1) + (17+0.5)*365/50)</f>
        <v>0</v>
      </c>
      <c r="J895" s="2">
        <f>I895 - INT(ROUND($B$4 * 30.4375, 0) * (42+0.5)/50)</f>
        <v>0</v>
      </c>
      <c r="K895" s="4">
        <f>VLOOKUP(J895, '1_Rate_Changes'!$A$2:$C$100, 3, TRUE)</f>
        <v>0</v>
      </c>
    </row>
    <row r="896" spans="7:11">
      <c r="G896">
        <v>17</v>
      </c>
      <c r="H896">
        <v>43</v>
      </c>
      <c r="I896" s="2">
        <f>INT(DATE($B$3,1,1) + (17+0.5)*365/50)</f>
        <v>0</v>
      </c>
      <c r="J896" s="2">
        <f>I896 - INT(ROUND($B$4 * 30.4375, 0) * (43+0.5)/50)</f>
        <v>0</v>
      </c>
      <c r="K896" s="4">
        <f>VLOOKUP(J896, '1_Rate_Changes'!$A$2:$C$100, 3, TRUE)</f>
        <v>0</v>
      </c>
    </row>
    <row r="897" spans="7:11">
      <c r="G897">
        <v>17</v>
      </c>
      <c r="H897">
        <v>44</v>
      </c>
      <c r="I897" s="2">
        <f>INT(DATE($B$3,1,1) + (17+0.5)*365/50)</f>
        <v>0</v>
      </c>
      <c r="J897" s="2">
        <f>I897 - INT(ROUND($B$4 * 30.4375, 0) * (44+0.5)/50)</f>
        <v>0</v>
      </c>
      <c r="K897" s="4">
        <f>VLOOKUP(J897, '1_Rate_Changes'!$A$2:$C$100, 3, TRUE)</f>
        <v>0</v>
      </c>
    </row>
    <row r="898" spans="7:11">
      <c r="G898">
        <v>17</v>
      </c>
      <c r="H898">
        <v>45</v>
      </c>
      <c r="I898" s="2">
        <f>INT(DATE($B$3,1,1) + (17+0.5)*365/50)</f>
        <v>0</v>
      </c>
      <c r="J898" s="2">
        <f>I898 - INT(ROUND($B$4 * 30.4375, 0) * (45+0.5)/50)</f>
        <v>0</v>
      </c>
      <c r="K898" s="4">
        <f>VLOOKUP(J898, '1_Rate_Changes'!$A$2:$C$100, 3, TRUE)</f>
        <v>0</v>
      </c>
    </row>
    <row r="899" spans="7:11">
      <c r="G899">
        <v>17</v>
      </c>
      <c r="H899">
        <v>46</v>
      </c>
      <c r="I899" s="2">
        <f>INT(DATE($B$3,1,1) + (17+0.5)*365/50)</f>
        <v>0</v>
      </c>
      <c r="J899" s="2">
        <f>I899 - INT(ROUND($B$4 * 30.4375, 0) * (46+0.5)/50)</f>
        <v>0</v>
      </c>
      <c r="K899" s="4">
        <f>VLOOKUP(J899, '1_Rate_Changes'!$A$2:$C$100, 3, TRUE)</f>
        <v>0</v>
      </c>
    </row>
    <row r="900" spans="7:11">
      <c r="G900">
        <v>17</v>
      </c>
      <c r="H900">
        <v>47</v>
      </c>
      <c r="I900" s="2">
        <f>INT(DATE($B$3,1,1) + (17+0.5)*365/50)</f>
        <v>0</v>
      </c>
      <c r="J900" s="2">
        <f>I900 - INT(ROUND($B$4 * 30.4375, 0) * (47+0.5)/50)</f>
        <v>0</v>
      </c>
      <c r="K900" s="4">
        <f>VLOOKUP(J900, '1_Rate_Changes'!$A$2:$C$100, 3, TRUE)</f>
        <v>0</v>
      </c>
    </row>
    <row r="901" spans="7:11">
      <c r="G901">
        <v>17</v>
      </c>
      <c r="H901">
        <v>48</v>
      </c>
      <c r="I901" s="2">
        <f>INT(DATE($B$3,1,1) + (17+0.5)*365/50)</f>
        <v>0</v>
      </c>
      <c r="J901" s="2">
        <f>I901 - INT(ROUND($B$4 * 30.4375, 0) * (48+0.5)/50)</f>
        <v>0</v>
      </c>
      <c r="K901" s="4">
        <f>VLOOKUP(J901, '1_Rate_Changes'!$A$2:$C$100, 3, TRUE)</f>
        <v>0</v>
      </c>
    </row>
    <row r="902" spans="7:11">
      <c r="G902">
        <v>17</v>
      </c>
      <c r="H902">
        <v>49</v>
      </c>
      <c r="I902" s="2">
        <f>INT(DATE($B$3,1,1) + (17+0.5)*365/50)</f>
        <v>0</v>
      </c>
      <c r="J902" s="2">
        <f>I902 - INT(ROUND($B$4 * 30.4375, 0) * (49+0.5)/50)</f>
        <v>0</v>
      </c>
      <c r="K902" s="4">
        <f>VLOOKUP(J902, '1_Rate_Changes'!$A$2:$C$100, 3, TRUE)</f>
        <v>0</v>
      </c>
    </row>
    <row r="903" spans="7:11">
      <c r="G903">
        <v>18</v>
      </c>
      <c r="H903">
        <v>0</v>
      </c>
      <c r="I903" s="2">
        <f>INT(DATE($B$3,1,1) + (18+0.5)*365/50)</f>
        <v>0</v>
      </c>
      <c r="J903" s="2">
        <f>I903 - INT(ROUND($B$4 * 30.4375, 0) * (0+0.5)/50)</f>
        <v>0</v>
      </c>
      <c r="K903" s="4">
        <f>VLOOKUP(J903, '1_Rate_Changes'!$A$2:$C$100, 3, TRUE)</f>
        <v>0</v>
      </c>
    </row>
    <row r="904" spans="7:11">
      <c r="G904">
        <v>18</v>
      </c>
      <c r="H904">
        <v>1</v>
      </c>
      <c r="I904" s="2">
        <f>INT(DATE($B$3,1,1) + (18+0.5)*365/50)</f>
        <v>0</v>
      </c>
      <c r="J904" s="2">
        <f>I904 - INT(ROUND($B$4 * 30.4375, 0) * (1+0.5)/50)</f>
        <v>0</v>
      </c>
      <c r="K904" s="4">
        <f>VLOOKUP(J904, '1_Rate_Changes'!$A$2:$C$100, 3, TRUE)</f>
        <v>0</v>
      </c>
    </row>
    <row r="905" spans="7:11">
      <c r="G905">
        <v>18</v>
      </c>
      <c r="H905">
        <v>2</v>
      </c>
      <c r="I905" s="2">
        <f>INT(DATE($B$3,1,1) + (18+0.5)*365/50)</f>
        <v>0</v>
      </c>
      <c r="J905" s="2">
        <f>I905 - INT(ROUND($B$4 * 30.4375, 0) * (2+0.5)/50)</f>
        <v>0</v>
      </c>
      <c r="K905" s="4">
        <f>VLOOKUP(J905, '1_Rate_Changes'!$A$2:$C$100, 3, TRUE)</f>
        <v>0</v>
      </c>
    </row>
    <row r="906" spans="7:11">
      <c r="G906">
        <v>18</v>
      </c>
      <c r="H906">
        <v>3</v>
      </c>
      <c r="I906" s="2">
        <f>INT(DATE($B$3,1,1) + (18+0.5)*365/50)</f>
        <v>0</v>
      </c>
      <c r="J906" s="2">
        <f>I906 - INT(ROUND($B$4 * 30.4375, 0) * (3+0.5)/50)</f>
        <v>0</v>
      </c>
      <c r="K906" s="4">
        <f>VLOOKUP(J906, '1_Rate_Changes'!$A$2:$C$100, 3, TRUE)</f>
        <v>0</v>
      </c>
    </row>
    <row r="907" spans="7:11">
      <c r="G907">
        <v>18</v>
      </c>
      <c r="H907">
        <v>4</v>
      </c>
      <c r="I907" s="2">
        <f>INT(DATE($B$3,1,1) + (18+0.5)*365/50)</f>
        <v>0</v>
      </c>
      <c r="J907" s="2">
        <f>I907 - INT(ROUND($B$4 * 30.4375, 0) * (4+0.5)/50)</f>
        <v>0</v>
      </c>
      <c r="K907" s="4">
        <f>VLOOKUP(J907, '1_Rate_Changes'!$A$2:$C$100, 3, TRUE)</f>
        <v>0</v>
      </c>
    </row>
    <row r="908" spans="7:11">
      <c r="G908">
        <v>18</v>
      </c>
      <c r="H908">
        <v>5</v>
      </c>
      <c r="I908" s="2">
        <f>INT(DATE($B$3,1,1) + (18+0.5)*365/50)</f>
        <v>0</v>
      </c>
      <c r="J908" s="2">
        <f>I908 - INT(ROUND($B$4 * 30.4375, 0) * (5+0.5)/50)</f>
        <v>0</v>
      </c>
      <c r="K908" s="4">
        <f>VLOOKUP(J908, '1_Rate_Changes'!$A$2:$C$100, 3, TRUE)</f>
        <v>0</v>
      </c>
    </row>
    <row r="909" spans="7:11">
      <c r="G909">
        <v>18</v>
      </c>
      <c r="H909">
        <v>6</v>
      </c>
      <c r="I909" s="2">
        <f>INT(DATE($B$3,1,1) + (18+0.5)*365/50)</f>
        <v>0</v>
      </c>
      <c r="J909" s="2">
        <f>I909 - INT(ROUND($B$4 * 30.4375, 0) * (6+0.5)/50)</f>
        <v>0</v>
      </c>
      <c r="K909" s="4">
        <f>VLOOKUP(J909, '1_Rate_Changes'!$A$2:$C$100, 3, TRUE)</f>
        <v>0</v>
      </c>
    </row>
    <row r="910" spans="7:11">
      <c r="G910">
        <v>18</v>
      </c>
      <c r="H910">
        <v>7</v>
      </c>
      <c r="I910" s="2">
        <f>INT(DATE($B$3,1,1) + (18+0.5)*365/50)</f>
        <v>0</v>
      </c>
      <c r="J910" s="2">
        <f>I910 - INT(ROUND($B$4 * 30.4375, 0) * (7+0.5)/50)</f>
        <v>0</v>
      </c>
      <c r="K910" s="4">
        <f>VLOOKUP(J910, '1_Rate_Changes'!$A$2:$C$100, 3, TRUE)</f>
        <v>0</v>
      </c>
    </row>
    <row r="911" spans="7:11">
      <c r="G911">
        <v>18</v>
      </c>
      <c r="H911">
        <v>8</v>
      </c>
      <c r="I911" s="2">
        <f>INT(DATE($B$3,1,1) + (18+0.5)*365/50)</f>
        <v>0</v>
      </c>
      <c r="J911" s="2">
        <f>I911 - INT(ROUND($B$4 * 30.4375, 0) * (8+0.5)/50)</f>
        <v>0</v>
      </c>
      <c r="K911" s="4">
        <f>VLOOKUP(J911, '1_Rate_Changes'!$A$2:$C$100, 3, TRUE)</f>
        <v>0</v>
      </c>
    </row>
    <row r="912" spans="7:11">
      <c r="G912">
        <v>18</v>
      </c>
      <c r="H912">
        <v>9</v>
      </c>
      <c r="I912" s="2">
        <f>INT(DATE($B$3,1,1) + (18+0.5)*365/50)</f>
        <v>0</v>
      </c>
      <c r="J912" s="2">
        <f>I912 - INT(ROUND($B$4 * 30.4375, 0) * (9+0.5)/50)</f>
        <v>0</v>
      </c>
      <c r="K912" s="4">
        <f>VLOOKUP(J912, '1_Rate_Changes'!$A$2:$C$100, 3, TRUE)</f>
        <v>0</v>
      </c>
    </row>
    <row r="913" spans="7:11">
      <c r="G913">
        <v>18</v>
      </c>
      <c r="H913">
        <v>10</v>
      </c>
      <c r="I913" s="2">
        <f>INT(DATE($B$3,1,1) + (18+0.5)*365/50)</f>
        <v>0</v>
      </c>
      <c r="J913" s="2">
        <f>I913 - INT(ROUND($B$4 * 30.4375, 0) * (10+0.5)/50)</f>
        <v>0</v>
      </c>
      <c r="K913" s="4">
        <f>VLOOKUP(J913, '1_Rate_Changes'!$A$2:$C$100, 3, TRUE)</f>
        <v>0</v>
      </c>
    </row>
    <row r="914" spans="7:11">
      <c r="G914">
        <v>18</v>
      </c>
      <c r="H914">
        <v>11</v>
      </c>
      <c r="I914" s="2">
        <f>INT(DATE($B$3,1,1) + (18+0.5)*365/50)</f>
        <v>0</v>
      </c>
      <c r="J914" s="2">
        <f>I914 - INT(ROUND($B$4 * 30.4375, 0) * (11+0.5)/50)</f>
        <v>0</v>
      </c>
      <c r="K914" s="4">
        <f>VLOOKUP(J914, '1_Rate_Changes'!$A$2:$C$100, 3, TRUE)</f>
        <v>0</v>
      </c>
    </row>
    <row r="915" spans="7:11">
      <c r="G915">
        <v>18</v>
      </c>
      <c r="H915">
        <v>12</v>
      </c>
      <c r="I915" s="2">
        <f>INT(DATE($B$3,1,1) + (18+0.5)*365/50)</f>
        <v>0</v>
      </c>
      <c r="J915" s="2">
        <f>I915 - INT(ROUND($B$4 * 30.4375, 0) * (12+0.5)/50)</f>
        <v>0</v>
      </c>
      <c r="K915" s="4">
        <f>VLOOKUP(J915, '1_Rate_Changes'!$A$2:$C$100, 3, TRUE)</f>
        <v>0</v>
      </c>
    </row>
    <row r="916" spans="7:11">
      <c r="G916">
        <v>18</v>
      </c>
      <c r="H916">
        <v>13</v>
      </c>
      <c r="I916" s="2">
        <f>INT(DATE($B$3,1,1) + (18+0.5)*365/50)</f>
        <v>0</v>
      </c>
      <c r="J916" s="2">
        <f>I916 - INT(ROUND($B$4 * 30.4375, 0) * (13+0.5)/50)</f>
        <v>0</v>
      </c>
      <c r="K916" s="4">
        <f>VLOOKUP(J916, '1_Rate_Changes'!$A$2:$C$100, 3, TRUE)</f>
        <v>0</v>
      </c>
    </row>
    <row r="917" spans="7:11">
      <c r="G917">
        <v>18</v>
      </c>
      <c r="H917">
        <v>14</v>
      </c>
      <c r="I917" s="2">
        <f>INT(DATE($B$3,1,1) + (18+0.5)*365/50)</f>
        <v>0</v>
      </c>
      <c r="J917" s="2">
        <f>I917 - INT(ROUND($B$4 * 30.4375, 0) * (14+0.5)/50)</f>
        <v>0</v>
      </c>
      <c r="K917" s="4">
        <f>VLOOKUP(J917, '1_Rate_Changes'!$A$2:$C$100, 3, TRUE)</f>
        <v>0</v>
      </c>
    </row>
    <row r="918" spans="7:11">
      <c r="G918">
        <v>18</v>
      </c>
      <c r="H918">
        <v>15</v>
      </c>
      <c r="I918" s="2">
        <f>INT(DATE($B$3,1,1) + (18+0.5)*365/50)</f>
        <v>0</v>
      </c>
      <c r="J918" s="2">
        <f>I918 - INT(ROUND($B$4 * 30.4375, 0) * (15+0.5)/50)</f>
        <v>0</v>
      </c>
      <c r="K918" s="4">
        <f>VLOOKUP(J918, '1_Rate_Changes'!$A$2:$C$100, 3, TRUE)</f>
        <v>0</v>
      </c>
    </row>
    <row r="919" spans="7:11">
      <c r="G919">
        <v>18</v>
      </c>
      <c r="H919">
        <v>16</v>
      </c>
      <c r="I919" s="2">
        <f>INT(DATE($B$3,1,1) + (18+0.5)*365/50)</f>
        <v>0</v>
      </c>
      <c r="J919" s="2">
        <f>I919 - INT(ROUND($B$4 * 30.4375, 0) * (16+0.5)/50)</f>
        <v>0</v>
      </c>
      <c r="K919" s="4">
        <f>VLOOKUP(J919, '1_Rate_Changes'!$A$2:$C$100, 3, TRUE)</f>
        <v>0</v>
      </c>
    </row>
    <row r="920" spans="7:11">
      <c r="G920">
        <v>18</v>
      </c>
      <c r="H920">
        <v>17</v>
      </c>
      <c r="I920" s="2">
        <f>INT(DATE($B$3,1,1) + (18+0.5)*365/50)</f>
        <v>0</v>
      </c>
      <c r="J920" s="2">
        <f>I920 - INT(ROUND($B$4 * 30.4375, 0) * (17+0.5)/50)</f>
        <v>0</v>
      </c>
      <c r="K920" s="4">
        <f>VLOOKUP(J920, '1_Rate_Changes'!$A$2:$C$100, 3, TRUE)</f>
        <v>0</v>
      </c>
    </row>
    <row r="921" spans="7:11">
      <c r="G921">
        <v>18</v>
      </c>
      <c r="H921">
        <v>18</v>
      </c>
      <c r="I921" s="2">
        <f>INT(DATE($B$3,1,1) + (18+0.5)*365/50)</f>
        <v>0</v>
      </c>
      <c r="J921" s="2">
        <f>I921 - INT(ROUND($B$4 * 30.4375, 0) * (18+0.5)/50)</f>
        <v>0</v>
      </c>
      <c r="K921" s="4">
        <f>VLOOKUP(J921, '1_Rate_Changes'!$A$2:$C$100, 3, TRUE)</f>
        <v>0</v>
      </c>
    </row>
    <row r="922" spans="7:11">
      <c r="G922">
        <v>18</v>
      </c>
      <c r="H922">
        <v>19</v>
      </c>
      <c r="I922" s="2">
        <f>INT(DATE($B$3,1,1) + (18+0.5)*365/50)</f>
        <v>0</v>
      </c>
      <c r="J922" s="2">
        <f>I922 - INT(ROUND($B$4 * 30.4375, 0) * (19+0.5)/50)</f>
        <v>0</v>
      </c>
      <c r="K922" s="4">
        <f>VLOOKUP(J922, '1_Rate_Changes'!$A$2:$C$100, 3, TRUE)</f>
        <v>0</v>
      </c>
    </row>
    <row r="923" spans="7:11">
      <c r="G923">
        <v>18</v>
      </c>
      <c r="H923">
        <v>20</v>
      </c>
      <c r="I923" s="2">
        <f>INT(DATE($B$3,1,1) + (18+0.5)*365/50)</f>
        <v>0</v>
      </c>
      <c r="J923" s="2">
        <f>I923 - INT(ROUND($B$4 * 30.4375, 0) * (20+0.5)/50)</f>
        <v>0</v>
      </c>
      <c r="K923" s="4">
        <f>VLOOKUP(J923, '1_Rate_Changes'!$A$2:$C$100, 3, TRUE)</f>
        <v>0</v>
      </c>
    </row>
    <row r="924" spans="7:11">
      <c r="G924">
        <v>18</v>
      </c>
      <c r="H924">
        <v>21</v>
      </c>
      <c r="I924" s="2">
        <f>INT(DATE($B$3,1,1) + (18+0.5)*365/50)</f>
        <v>0</v>
      </c>
      <c r="J924" s="2">
        <f>I924 - INT(ROUND($B$4 * 30.4375, 0) * (21+0.5)/50)</f>
        <v>0</v>
      </c>
      <c r="K924" s="4">
        <f>VLOOKUP(J924, '1_Rate_Changes'!$A$2:$C$100, 3, TRUE)</f>
        <v>0</v>
      </c>
    </row>
    <row r="925" spans="7:11">
      <c r="G925">
        <v>18</v>
      </c>
      <c r="H925">
        <v>22</v>
      </c>
      <c r="I925" s="2">
        <f>INT(DATE($B$3,1,1) + (18+0.5)*365/50)</f>
        <v>0</v>
      </c>
      <c r="J925" s="2">
        <f>I925 - INT(ROUND($B$4 * 30.4375, 0) * (22+0.5)/50)</f>
        <v>0</v>
      </c>
      <c r="K925" s="4">
        <f>VLOOKUP(J925, '1_Rate_Changes'!$A$2:$C$100, 3, TRUE)</f>
        <v>0</v>
      </c>
    </row>
    <row r="926" spans="7:11">
      <c r="G926">
        <v>18</v>
      </c>
      <c r="H926">
        <v>23</v>
      </c>
      <c r="I926" s="2">
        <f>INT(DATE($B$3,1,1) + (18+0.5)*365/50)</f>
        <v>0</v>
      </c>
      <c r="J926" s="2">
        <f>I926 - INT(ROUND($B$4 * 30.4375, 0) * (23+0.5)/50)</f>
        <v>0</v>
      </c>
      <c r="K926" s="4">
        <f>VLOOKUP(J926, '1_Rate_Changes'!$A$2:$C$100, 3, TRUE)</f>
        <v>0</v>
      </c>
    </row>
    <row r="927" spans="7:11">
      <c r="G927">
        <v>18</v>
      </c>
      <c r="H927">
        <v>24</v>
      </c>
      <c r="I927" s="2">
        <f>INT(DATE($B$3,1,1) + (18+0.5)*365/50)</f>
        <v>0</v>
      </c>
      <c r="J927" s="2">
        <f>I927 - INT(ROUND($B$4 * 30.4375, 0) * (24+0.5)/50)</f>
        <v>0</v>
      </c>
      <c r="K927" s="4">
        <f>VLOOKUP(J927, '1_Rate_Changes'!$A$2:$C$100, 3, TRUE)</f>
        <v>0</v>
      </c>
    </row>
    <row r="928" spans="7:11">
      <c r="G928">
        <v>18</v>
      </c>
      <c r="H928">
        <v>25</v>
      </c>
      <c r="I928" s="2">
        <f>INT(DATE($B$3,1,1) + (18+0.5)*365/50)</f>
        <v>0</v>
      </c>
      <c r="J928" s="2">
        <f>I928 - INT(ROUND($B$4 * 30.4375, 0) * (25+0.5)/50)</f>
        <v>0</v>
      </c>
      <c r="K928" s="4">
        <f>VLOOKUP(J928, '1_Rate_Changes'!$A$2:$C$100, 3, TRUE)</f>
        <v>0</v>
      </c>
    </row>
    <row r="929" spans="7:11">
      <c r="G929">
        <v>18</v>
      </c>
      <c r="H929">
        <v>26</v>
      </c>
      <c r="I929" s="2">
        <f>INT(DATE($B$3,1,1) + (18+0.5)*365/50)</f>
        <v>0</v>
      </c>
      <c r="J929" s="2">
        <f>I929 - INT(ROUND($B$4 * 30.4375, 0) * (26+0.5)/50)</f>
        <v>0</v>
      </c>
      <c r="K929" s="4">
        <f>VLOOKUP(J929, '1_Rate_Changes'!$A$2:$C$100, 3, TRUE)</f>
        <v>0</v>
      </c>
    </row>
    <row r="930" spans="7:11">
      <c r="G930">
        <v>18</v>
      </c>
      <c r="H930">
        <v>27</v>
      </c>
      <c r="I930" s="2">
        <f>INT(DATE($B$3,1,1) + (18+0.5)*365/50)</f>
        <v>0</v>
      </c>
      <c r="J930" s="2">
        <f>I930 - INT(ROUND($B$4 * 30.4375, 0) * (27+0.5)/50)</f>
        <v>0</v>
      </c>
      <c r="K930" s="4">
        <f>VLOOKUP(J930, '1_Rate_Changes'!$A$2:$C$100, 3, TRUE)</f>
        <v>0</v>
      </c>
    </row>
    <row r="931" spans="7:11">
      <c r="G931">
        <v>18</v>
      </c>
      <c r="H931">
        <v>28</v>
      </c>
      <c r="I931" s="2">
        <f>INT(DATE($B$3,1,1) + (18+0.5)*365/50)</f>
        <v>0</v>
      </c>
      <c r="J931" s="2">
        <f>I931 - INT(ROUND($B$4 * 30.4375, 0) * (28+0.5)/50)</f>
        <v>0</v>
      </c>
      <c r="K931" s="4">
        <f>VLOOKUP(J931, '1_Rate_Changes'!$A$2:$C$100, 3, TRUE)</f>
        <v>0</v>
      </c>
    </row>
    <row r="932" spans="7:11">
      <c r="G932">
        <v>18</v>
      </c>
      <c r="H932">
        <v>29</v>
      </c>
      <c r="I932" s="2">
        <f>INT(DATE($B$3,1,1) + (18+0.5)*365/50)</f>
        <v>0</v>
      </c>
      <c r="J932" s="2">
        <f>I932 - INT(ROUND($B$4 * 30.4375, 0) * (29+0.5)/50)</f>
        <v>0</v>
      </c>
      <c r="K932" s="4">
        <f>VLOOKUP(J932, '1_Rate_Changes'!$A$2:$C$100, 3, TRUE)</f>
        <v>0</v>
      </c>
    </row>
    <row r="933" spans="7:11">
      <c r="G933">
        <v>18</v>
      </c>
      <c r="H933">
        <v>30</v>
      </c>
      <c r="I933" s="2">
        <f>INT(DATE($B$3,1,1) + (18+0.5)*365/50)</f>
        <v>0</v>
      </c>
      <c r="J933" s="2">
        <f>I933 - INT(ROUND($B$4 * 30.4375, 0) * (30+0.5)/50)</f>
        <v>0</v>
      </c>
      <c r="K933" s="4">
        <f>VLOOKUP(J933, '1_Rate_Changes'!$A$2:$C$100, 3, TRUE)</f>
        <v>0</v>
      </c>
    </row>
    <row r="934" spans="7:11">
      <c r="G934">
        <v>18</v>
      </c>
      <c r="H934">
        <v>31</v>
      </c>
      <c r="I934" s="2">
        <f>INT(DATE($B$3,1,1) + (18+0.5)*365/50)</f>
        <v>0</v>
      </c>
      <c r="J934" s="2">
        <f>I934 - INT(ROUND($B$4 * 30.4375, 0) * (31+0.5)/50)</f>
        <v>0</v>
      </c>
      <c r="K934" s="4">
        <f>VLOOKUP(J934, '1_Rate_Changes'!$A$2:$C$100, 3, TRUE)</f>
        <v>0</v>
      </c>
    </row>
    <row r="935" spans="7:11">
      <c r="G935">
        <v>18</v>
      </c>
      <c r="H935">
        <v>32</v>
      </c>
      <c r="I935" s="2">
        <f>INT(DATE($B$3,1,1) + (18+0.5)*365/50)</f>
        <v>0</v>
      </c>
      <c r="J935" s="2">
        <f>I935 - INT(ROUND($B$4 * 30.4375, 0) * (32+0.5)/50)</f>
        <v>0</v>
      </c>
      <c r="K935" s="4">
        <f>VLOOKUP(J935, '1_Rate_Changes'!$A$2:$C$100, 3, TRUE)</f>
        <v>0</v>
      </c>
    </row>
    <row r="936" spans="7:11">
      <c r="G936">
        <v>18</v>
      </c>
      <c r="H936">
        <v>33</v>
      </c>
      <c r="I936" s="2">
        <f>INT(DATE($B$3,1,1) + (18+0.5)*365/50)</f>
        <v>0</v>
      </c>
      <c r="J936" s="2">
        <f>I936 - INT(ROUND($B$4 * 30.4375, 0) * (33+0.5)/50)</f>
        <v>0</v>
      </c>
      <c r="K936" s="4">
        <f>VLOOKUP(J936, '1_Rate_Changes'!$A$2:$C$100, 3, TRUE)</f>
        <v>0</v>
      </c>
    </row>
    <row r="937" spans="7:11">
      <c r="G937">
        <v>18</v>
      </c>
      <c r="H937">
        <v>34</v>
      </c>
      <c r="I937" s="2">
        <f>INT(DATE($B$3,1,1) + (18+0.5)*365/50)</f>
        <v>0</v>
      </c>
      <c r="J937" s="2">
        <f>I937 - INT(ROUND($B$4 * 30.4375, 0) * (34+0.5)/50)</f>
        <v>0</v>
      </c>
      <c r="K937" s="4">
        <f>VLOOKUP(J937, '1_Rate_Changes'!$A$2:$C$100, 3, TRUE)</f>
        <v>0</v>
      </c>
    </row>
    <row r="938" spans="7:11">
      <c r="G938">
        <v>18</v>
      </c>
      <c r="H938">
        <v>35</v>
      </c>
      <c r="I938" s="2">
        <f>INT(DATE($B$3,1,1) + (18+0.5)*365/50)</f>
        <v>0</v>
      </c>
      <c r="J938" s="2">
        <f>I938 - INT(ROUND($B$4 * 30.4375, 0) * (35+0.5)/50)</f>
        <v>0</v>
      </c>
      <c r="K938" s="4">
        <f>VLOOKUP(J938, '1_Rate_Changes'!$A$2:$C$100, 3, TRUE)</f>
        <v>0</v>
      </c>
    </row>
    <row r="939" spans="7:11">
      <c r="G939">
        <v>18</v>
      </c>
      <c r="H939">
        <v>36</v>
      </c>
      <c r="I939" s="2">
        <f>INT(DATE($B$3,1,1) + (18+0.5)*365/50)</f>
        <v>0</v>
      </c>
      <c r="J939" s="2">
        <f>I939 - INT(ROUND($B$4 * 30.4375, 0) * (36+0.5)/50)</f>
        <v>0</v>
      </c>
      <c r="K939" s="4">
        <f>VLOOKUP(J939, '1_Rate_Changes'!$A$2:$C$100, 3, TRUE)</f>
        <v>0</v>
      </c>
    </row>
    <row r="940" spans="7:11">
      <c r="G940">
        <v>18</v>
      </c>
      <c r="H940">
        <v>37</v>
      </c>
      <c r="I940" s="2">
        <f>INT(DATE($B$3,1,1) + (18+0.5)*365/50)</f>
        <v>0</v>
      </c>
      <c r="J940" s="2">
        <f>I940 - INT(ROUND($B$4 * 30.4375, 0) * (37+0.5)/50)</f>
        <v>0</v>
      </c>
      <c r="K940" s="4">
        <f>VLOOKUP(J940, '1_Rate_Changes'!$A$2:$C$100, 3, TRUE)</f>
        <v>0</v>
      </c>
    </row>
    <row r="941" spans="7:11">
      <c r="G941">
        <v>18</v>
      </c>
      <c r="H941">
        <v>38</v>
      </c>
      <c r="I941" s="2">
        <f>INT(DATE($B$3,1,1) + (18+0.5)*365/50)</f>
        <v>0</v>
      </c>
      <c r="J941" s="2">
        <f>I941 - INT(ROUND($B$4 * 30.4375, 0) * (38+0.5)/50)</f>
        <v>0</v>
      </c>
      <c r="K941" s="4">
        <f>VLOOKUP(J941, '1_Rate_Changes'!$A$2:$C$100, 3, TRUE)</f>
        <v>0</v>
      </c>
    </row>
    <row r="942" spans="7:11">
      <c r="G942">
        <v>18</v>
      </c>
      <c r="H942">
        <v>39</v>
      </c>
      <c r="I942" s="2">
        <f>INT(DATE($B$3,1,1) + (18+0.5)*365/50)</f>
        <v>0</v>
      </c>
      <c r="J942" s="2">
        <f>I942 - INT(ROUND($B$4 * 30.4375, 0) * (39+0.5)/50)</f>
        <v>0</v>
      </c>
      <c r="K942" s="4">
        <f>VLOOKUP(J942, '1_Rate_Changes'!$A$2:$C$100, 3, TRUE)</f>
        <v>0</v>
      </c>
    </row>
    <row r="943" spans="7:11">
      <c r="G943">
        <v>18</v>
      </c>
      <c r="H943">
        <v>40</v>
      </c>
      <c r="I943" s="2">
        <f>INT(DATE($B$3,1,1) + (18+0.5)*365/50)</f>
        <v>0</v>
      </c>
      <c r="J943" s="2">
        <f>I943 - INT(ROUND($B$4 * 30.4375, 0) * (40+0.5)/50)</f>
        <v>0</v>
      </c>
      <c r="K943" s="4">
        <f>VLOOKUP(J943, '1_Rate_Changes'!$A$2:$C$100, 3, TRUE)</f>
        <v>0</v>
      </c>
    </row>
    <row r="944" spans="7:11">
      <c r="G944">
        <v>18</v>
      </c>
      <c r="H944">
        <v>41</v>
      </c>
      <c r="I944" s="2">
        <f>INT(DATE($B$3,1,1) + (18+0.5)*365/50)</f>
        <v>0</v>
      </c>
      <c r="J944" s="2">
        <f>I944 - INT(ROUND($B$4 * 30.4375, 0) * (41+0.5)/50)</f>
        <v>0</v>
      </c>
      <c r="K944" s="4">
        <f>VLOOKUP(J944, '1_Rate_Changes'!$A$2:$C$100, 3, TRUE)</f>
        <v>0</v>
      </c>
    </row>
    <row r="945" spans="7:11">
      <c r="G945">
        <v>18</v>
      </c>
      <c r="H945">
        <v>42</v>
      </c>
      <c r="I945" s="2">
        <f>INT(DATE($B$3,1,1) + (18+0.5)*365/50)</f>
        <v>0</v>
      </c>
      <c r="J945" s="2">
        <f>I945 - INT(ROUND($B$4 * 30.4375, 0) * (42+0.5)/50)</f>
        <v>0</v>
      </c>
      <c r="K945" s="4">
        <f>VLOOKUP(J945, '1_Rate_Changes'!$A$2:$C$100, 3, TRUE)</f>
        <v>0</v>
      </c>
    </row>
    <row r="946" spans="7:11">
      <c r="G946">
        <v>18</v>
      </c>
      <c r="H946">
        <v>43</v>
      </c>
      <c r="I946" s="2">
        <f>INT(DATE($B$3,1,1) + (18+0.5)*365/50)</f>
        <v>0</v>
      </c>
      <c r="J946" s="2">
        <f>I946 - INT(ROUND($B$4 * 30.4375, 0) * (43+0.5)/50)</f>
        <v>0</v>
      </c>
      <c r="K946" s="4">
        <f>VLOOKUP(J946, '1_Rate_Changes'!$A$2:$C$100, 3, TRUE)</f>
        <v>0</v>
      </c>
    </row>
    <row r="947" spans="7:11">
      <c r="G947">
        <v>18</v>
      </c>
      <c r="H947">
        <v>44</v>
      </c>
      <c r="I947" s="2">
        <f>INT(DATE($B$3,1,1) + (18+0.5)*365/50)</f>
        <v>0</v>
      </c>
      <c r="J947" s="2">
        <f>I947 - INT(ROUND($B$4 * 30.4375, 0) * (44+0.5)/50)</f>
        <v>0</v>
      </c>
      <c r="K947" s="4">
        <f>VLOOKUP(J947, '1_Rate_Changes'!$A$2:$C$100, 3, TRUE)</f>
        <v>0</v>
      </c>
    </row>
    <row r="948" spans="7:11">
      <c r="G948">
        <v>18</v>
      </c>
      <c r="H948">
        <v>45</v>
      </c>
      <c r="I948" s="2">
        <f>INT(DATE($B$3,1,1) + (18+0.5)*365/50)</f>
        <v>0</v>
      </c>
      <c r="J948" s="2">
        <f>I948 - INT(ROUND($B$4 * 30.4375, 0) * (45+0.5)/50)</f>
        <v>0</v>
      </c>
      <c r="K948" s="4">
        <f>VLOOKUP(J948, '1_Rate_Changes'!$A$2:$C$100, 3, TRUE)</f>
        <v>0</v>
      </c>
    </row>
    <row r="949" spans="7:11">
      <c r="G949">
        <v>18</v>
      </c>
      <c r="H949">
        <v>46</v>
      </c>
      <c r="I949" s="2">
        <f>INT(DATE($B$3,1,1) + (18+0.5)*365/50)</f>
        <v>0</v>
      </c>
      <c r="J949" s="2">
        <f>I949 - INT(ROUND($B$4 * 30.4375, 0) * (46+0.5)/50)</f>
        <v>0</v>
      </c>
      <c r="K949" s="4">
        <f>VLOOKUP(J949, '1_Rate_Changes'!$A$2:$C$100, 3, TRUE)</f>
        <v>0</v>
      </c>
    </row>
    <row r="950" spans="7:11">
      <c r="G950">
        <v>18</v>
      </c>
      <c r="H950">
        <v>47</v>
      </c>
      <c r="I950" s="2">
        <f>INT(DATE($B$3,1,1) + (18+0.5)*365/50)</f>
        <v>0</v>
      </c>
      <c r="J950" s="2">
        <f>I950 - INT(ROUND($B$4 * 30.4375, 0) * (47+0.5)/50)</f>
        <v>0</v>
      </c>
      <c r="K950" s="4">
        <f>VLOOKUP(J950, '1_Rate_Changes'!$A$2:$C$100, 3, TRUE)</f>
        <v>0</v>
      </c>
    </row>
    <row r="951" spans="7:11">
      <c r="G951">
        <v>18</v>
      </c>
      <c r="H951">
        <v>48</v>
      </c>
      <c r="I951" s="2">
        <f>INT(DATE($B$3,1,1) + (18+0.5)*365/50)</f>
        <v>0</v>
      </c>
      <c r="J951" s="2">
        <f>I951 - INT(ROUND($B$4 * 30.4375, 0) * (48+0.5)/50)</f>
        <v>0</v>
      </c>
      <c r="K951" s="4">
        <f>VLOOKUP(J951, '1_Rate_Changes'!$A$2:$C$100, 3, TRUE)</f>
        <v>0</v>
      </c>
    </row>
    <row r="952" spans="7:11">
      <c r="G952">
        <v>18</v>
      </c>
      <c r="H952">
        <v>49</v>
      </c>
      <c r="I952" s="2">
        <f>INT(DATE($B$3,1,1) + (18+0.5)*365/50)</f>
        <v>0</v>
      </c>
      <c r="J952" s="2">
        <f>I952 - INT(ROUND($B$4 * 30.4375, 0) * (49+0.5)/50)</f>
        <v>0</v>
      </c>
      <c r="K952" s="4">
        <f>VLOOKUP(J952, '1_Rate_Changes'!$A$2:$C$100, 3, TRUE)</f>
        <v>0</v>
      </c>
    </row>
    <row r="953" spans="7:11">
      <c r="G953">
        <v>19</v>
      </c>
      <c r="H953">
        <v>0</v>
      </c>
      <c r="I953" s="2">
        <f>INT(DATE($B$3,1,1) + (19+0.5)*365/50)</f>
        <v>0</v>
      </c>
      <c r="J953" s="2">
        <f>I953 - INT(ROUND($B$4 * 30.4375, 0) * (0+0.5)/50)</f>
        <v>0</v>
      </c>
      <c r="K953" s="4">
        <f>VLOOKUP(J953, '1_Rate_Changes'!$A$2:$C$100, 3, TRUE)</f>
        <v>0</v>
      </c>
    </row>
    <row r="954" spans="7:11">
      <c r="G954">
        <v>19</v>
      </c>
      <c r="H954">
        <v>1</v>
      </c>
      <c r="I954" s="2">
        <f>INT(DATE($B$3,1,1) + (19+0.5)*365/50)</f>
        <v>0</v>
      </c>
      <c r="J954" s="2">
        <f>I954 - INT(ROUND($B$4 * 30.4375, 0) * (1+0.5)/50)</f>
        <v>0</v>
      </c>
      <c r="K954" s="4">
        <f>VLOOKUP(J954, '1_Rate_Changes'!$A$2:$C$100, 3, TRUE)</f>
        <v>0</v>
      </c>
    </row>
    <row r="955" spans="7:11">
      <c r="G955">
        <v>19</v>
      </c>
      <c r="H955">
        <v>2</v>
      </c>
      <c r="I955" s="2">
        <f>INT(DATE($B$3,1,1) + (19+0.5)*365/50)</f>
        <v>0</v>
      </c>
      <c r="J955" s="2">
        <f>I955 - INT(ROUND($B$4 * 30.4375, 0) * (2+0.5)/50)</f>
        <v>0</v>
      </c>
      <c r="K955" s="4">
        <f>VLOOKUP(J955, '1_Rate_Changes'!$A$2:$C$100, 3, TRUE)</f>
        <v>0</v>
      </c>
    </row>
    <row r="956" spans="7:11">
      <c r="G956">
        <v>19</v>
      </c>
      <c r="H956">
        <v>3</v>
      </c>
      <c r="I956" s="2">
        <f>INT(DATE($B$3,1,1) + (19+0.5)*365/50)</f>
        <v>0</v>
      </c>
      <c r="J956" s="2">
        <f>I956 - INT(ROUND($B$4 * 30.4375, 0) * (3+0.5)/50)</f>
        <v>0</v>
      </c>
      <c r="K956" s="4">
        <f>VLOOKUP(J956, '1_Rate_Changes'!$A$2:$C$100, 3, TRUE)</f>
        <v>0</v>
      </c>
    </row>
    <row r="957" spans="7:11">
      <c r="G957">
        <v>19</v>
      </c>
      <c r="H957">
        <v>4</v>
      </c>
      <c r="I957" s="2">
        <f>INT(DATE($B$3,1,1) + (19+0.5)*365/50)</f>
        <v>0</v>
      </c>
      <c r="J957" s="2">
        <f>I957 - INT(ROUND($B$4 * 30.4375, 0) * (4+0.5)/50)</f>
        <v>0</v>
      </c>
      <c r="K957" s="4">
        <f>VLOOKUP(J957, '1_Rate_Changes'!$A$2:$C$100, 3, TRUE)</f>
        <v>0</v>
      </c>
    </row>
    <row r="958" spans="7:11">
      <c r="G958">
        <v>19</v>
      </c>
      <c r="H958">
        <v>5</v>
      </c>
      <c r="I958" s="2">
        <f>INT(DATE($B$3,1,1) + (19+0.5)*365/50)</f>
        <v>0</v>
      </c>
      <c r="J958" s="2">
        <f>I958 - INT(ROUND($B$4 * 30.4375, 0) * (5+0.5)/50)</f>
        <v>0</v>
      </c>
      <c r="K958" s="4">
        <f>VLOOKUP(J958, '1_Rate_Changes'!$A$2:$C$100, 3, TRUE)</f>
        <v>0</v>
      </c>
    </row>
    <row r="959" spans="7:11">
      <c r="G959">
        <v>19</v>
      </c>
      <c r="H959">
        <v>6</v>
      </c>
      <c r="I959" s="2">
        <f>INT(DATE($B$3,1,1) + (19+0.5)*365/50)</f>
        <v>0</v>
      </c>
      <c r="J959" s="2">
        <f>I959 - INT(ROUND($B$4 * 30.4375, 0) * (6+0.5)/50)</f>
        <v>0</v>
      </c>
      <c r="K959" s="4">
        <f>VLOOKUP(J959, '1_Rate_Changes'!$A$2:$C$100, 3, TRUE)</f>
        <v>0</v>
      </c>
    </row>
    <row r="960" spans="7:11">
      <c r="G960">
        <v>19</v>
      </c>
      <c r="H960">
        <v>7</v>
      </c>
      <c r="I960" s="2">
        <f>INT(DATE($B$3,1,1) + (19+0.5)*365/50)</f>
        <v>0</v>
      </c>
      <c r="J960" s="2">
        <f>I960 - INT(ROUND($B$4 * 30.4375, 0) * (7+0.5)/50)</f>
        <v>0</v>
      </c>
      <c r="K960" s="4">
        <f>VLOOKUP(J960, '1_Rate_Changes'!$A$2:$C$100, 3, TRUE)</f>
        <v>0</v>
      </c>
    </row>
    <row r="961" spans="7:11">
      <c r="G961">
        <v>19</v>
      </c>
      <c r="H961">
        <v>8</v>
      </c>
      <c r="I961" s="2">
        <f>INT(DATE($B$3,1,1) + (19+0.5)*365/50)</f>
        <v>0</v>
      </c>
      <c r="J961" s="2">
        <f>I961 - INT(ROUND($B$4 * 30.4375, 0) * (8+0.5)/50)</f>
        <v>0</v>
      </c>
      <c r="K961" s="4">
        <f>VLOOKUP(J961, '1_Rate_Changes'!$A$2:$C$100, 3, TRUE)</f>
        <v>0</v>
      </c>
    </row>
    <row r="962" spans="7:11">
      <c r="G962">
        <v>19</v>
      </c>
      <c r="H962">
        <v>9</v>
      </c>
      <c r="I962" s="2">
        <f>INT(DATE($B$3,1,1) + (19+0.5)*365/50)</f>
        <v>0</v>
      </c>
      <c r="J962" s="2">
        <f>I962 - INT(ROUND($B$4 * 30.4375, 0) * (9+0.5)/50)</f>
        <v>0</v>
      </c>
      <c r="K962" s="4">
        <f>VLOOKUP(J962, '1_Rate_Changes'!$A$2:$C$100, 3, TRUE)</f>
        <v>0</v>
      </c>
    </row>
    <row r="963" spans="7:11">
      <c r="G963">
        <v>19</v>
      </c>
      <c r="H963">
        <v>10</v>
      </c>
      <c r="I963" s="2">
        <f>INT(DATE($B$3,1,1) + (19+0.5)*365/50)</f>
        <v>0</v>
      </c>
      <c r="J963" s="2">
        <f>I963 - INT(ROUND($B$4 * 30.4375, 0) * (10+0.5)/50)</f>
        <v>0</v>
      </c>
      <c r="K963" s="4">
        <f>VLOOKUP(J963, '1_Rate_Changes'!$A$2:$C$100, 3, TRUE)</f>
        <v>0</v>
      </c>
    </row>
    <row r="964" spans="7:11">
      <c r="G964">
        <v>19</v>
      </c>
      <c r="H964">
        <v>11</v>
      </c>
      <c r="I964" s="2">
        <f>INT(DATE($B$3,1,1) + (19+0.5)*365/50)</f>
        <v>0</v>
      </c>
      <c r="J964" s="2">
        <f>I964 - INT(ROUND($B$4 * 30.4375, 0) * (11+0.5)/50)</f>
        <v>0</v>
      </c>
      <c r="K964" s="4">
        <f>VLOOKUP(J964, '1_Rate_Changes'!$A$2:$C$100, 3, TRUE)</f>
        <v>0</v>
      </c>
    </row>
    <row r="965" spans="7:11">
      <c r="G965">
        <v>19</v>
      </c>
      <c r="H965">
        <v>12</v>
      </c>
      <c r="I965" s="2">
        <f>INT(DATE($B$3,1,1) + (19+0.5)*365/50)</f>
        <v>0</v>
      </c>
      <c r="J965" s="2">
        <f>I965 - INT(ROUND($B$4 * 30.4375, 0) * (12+0.5)/50)</f>
        <v>0</v>
      </c>
      <c r="K965" s="4">
        <f>VLOOKUP(J965, '1_Rate_Changes'!$A$2:$C$100, 3, TRUE)</f>
        <v>0</v>
      </c>
    </row>
    <row r="966" spans="7:11">
      <c r="G966">
        <v>19</v>
      </c>
      <c r="H966">
        <v>13</v>
      </c>
      <c r="I966" s="2">
        <f>INT(DATE($B$3,1,1) + (19+0.5)*365/50)</f>
        <v>0</v>
      </c>
      <c r="J966" s="2">
        <f>I966 - INT(ROUND($B$4 * 30.4375, 0) * (13+0.5)/50)</f>
        <v>0</v>
      </c>
      <c r="K966" s="4">
        <f>VLOOKUP(J966, '1_Rate_Changes'!$A$2:$C$100, 3, TRUE)</f>
        <v>0</v>
      </c>
    </row>
    <row r="967" spans="7:11">
      <c r="G967">
        <v>19</v>
      </c>
      <c r="H967">
        <v>14</v>
      </c>
      <c r="I967" s="2">
        <f>INT(DATE($B$3,1,1) + (19+0.5)*365/50)</f>
        <v>0</v>
      </c>
      <c r="J967" s="2">
        <f>I967 - INT(ROUND($B$4 * 30.4375, 0) * (14+0.5)/50)</f>
        <v>0</v>
      </c>
      <c r="K967" s="4">
        <f>VLOOKUP(J967, '1_Rate_Changes'!$A$2:$C$100, 3, TRUE)</f>
        <v>0</v>
      </c>
    </row>
    <row r="968" spans="7:11">
      <c r="G968">
        <v>19</v>
      </c>
      <c r="H968">
        <v>15</v>
      </c>
      <c r="I968" s="2">
        <f>INT(DATE($B$3,1,1) + (19+0.5)*365/50)</f>
        <v>0</v>
      </c>
      <c r="J968" s="2">
        <f>I968 - INT(ROUND($B$4 * 30.4375, 0) * (15+0.5)/50)</f>
        <v>0</v>
      </c>
      <c r="K968" s="4">
        <f>VLOOKUP(J968, '1_Rate_Changes'!$A$2:$C$100, 3, TRUE)</f>
        <v>0</v>
      </c>
    </row>
    <row r="969" spans="7:11">
      <c r="G969">
        <v>19</v>
      </c>
      <c r="H969">
        <v>16</v>
      </c>
      <c r="I969" s="2">
        <f>INT(DATE($B$3,1,1) + (19+0.5)*365/50)</f>
        <v>0</v>
      </c>
      <c r="J969" s="2">
        <f>I969 - INT(ROUND($B$4 * 30.4375, 0) * (16+0.5)/50)</f>
        <v>0</v>
      </c>
      <c r="K969" s="4">
        <f>VLOOKUP(J969, '1_Rate_Changes'!$A$2:$C$100, 3, TRUE)</f>
        <v>0</v>
      </c>
    </row>
    <row r="970" spans="7:11">
      <c r="G970">
        <v>19</v>
      </c>
      <c r="H970">
        <v>17</v>
      </c>
      <c r="I970" s="2">
        <f>INT(DATE($B$3,1,1) + (19+0.5)*365/50)</f>
        <v>0</v>
      </c>
      <c r="J970" s="2">
        <f>I970 - INT(ROUND($B$4 * 30.4375, 0) * (17+0.5)/50)</f>
        <v>0</v>
      </c>
      <c r="K970" s="4">
        <f>VLOOKUP(J970, '1_Rate_Changes'!$A$2:$C$100, 3, TRUE)</f>
        <v>0</v>
      </c>
    </row>
    <row r="971" spans="7:11">
      <c r="G971">
        <v>19</v>
      </c>
      <c r="H971">
        <v>18</v>
      </c>
      <c r="I971" s="2">
        <f>INT(DATE($B$3,1,1) + (19+0.5)*365/50)</f>
        <v>0</v>
      </c>
      <c r="J971" s="2">
        <f>I971 - INT(ROUND($B$4 * 30.4375, 0) * (18+0.5)/50)</f>
        <v>0</v>
      </c>
      <c r="K971" s="4">
        <f>VLOOKUP(J971, '1_Rate_Changes'!$A$2:$C$100, 3, TRUE)</f>
        <v>0</v>
      </c>
    </row>
    <row r="972" spans="7:11">
      <c r="G972">
        <v>19</v>
      </c>
      <c r="H972">
        <v>19</v>
      </c>
      <c r="I972" s="2">
        <f>INT(DATE($B$3,1,1) + (19+0.5)*365/50)</f>
        <v>0</v>
      </c>
      <c r="J972" s="2">
        <f>I972 - INT(ROUND($B$4 * 30.4375, 0) * (19+0.5)/50)</f>
        <v>0</v>
      </c>
      <c r="K972" s="4">
        <f>VLOOKUP(J972, '1_Rate_Changes'!$A$2:$C$100, 3, TRUE)</f>
        <v>0</v>
      </c>
    </row>
    <row r="973" spans="7:11">
      <c r="G973">
        <v>19</v>
      </c>
      <c r="H973">
        <v>20</v>
      </c>
      <c r="I973" s="2">
        <f>INT(DATE($B$3,1,1) + (19+0.5)*365/50)</f>
        <v>0</v>
      </c>
      <c r="J973" s="2">
        <f>I973 - INT(ROUND($B$4 * 30.4375, 0) * (20+0.5)/50)</f>
        <v>0</v>
      </c>
      <c r="K973" s="4">
        <f>VLOOKUP(J973, '1_Rate_Changes'!$A$2:$C$100, 3, TRUE)</f>
        <v>0</v>
      </c>
    </row>
    <row r="974" spans="7:11">
      <c r="G974">
        <v>19</v>
      </c>
      <c r="H974">
        <v>21</v>
      </c>
      <c r="I974" s="2">
        <f>INT(DATE($B$3,1,1) + (19+0.5)*365/50)</f>
        <v>0</v>
      </c>
      <c r="J974" s="2">
        <f>I974 - INT(ROUND($B$4 * 30.4375, 0) * (21+0.5)/50)</f>
        <v>0</v>
      </c>
      <c r="K974" s="4">
        <f>VLOOKUP(J974, '1_Rate_Changes'!$A$2:$C$100, 3, TRUE)</f>
        <v>0</v>
      </c>
    </row>
    <row r="975" spans="7:11">
      <c r="G975">
        <v>19</v>
      </c>
      <c r="H975">
        <v>22</v>
      </c>
      <c r="I975" s="2">
        <f>INT(DATE($B$3,1,1) + (19+0.5)*365/50)</f>
        <v>0</v>
      </c>
      <c r="J975" s="2">
        <f>I975 - INT(ROUND($B$4 * 30.4375, 0) * (22+0.5)/50)</f>
        <v>0</v>
      </c>
      <c r="K975" s="4">
        <f>VLOOKUP(J975, '1_Rate_Changes'!$A$2:$C$100, 3, TRUE)</f>
        <v>0</v>
      </c>
    </row>
    <row r="976" spans="7:11">
      <c r="G976">
        <v>19</v>
      </c>
      <c r="H976">
        <v>23</v>
      </c>
      <c r="I976" s="2">
        <f>INT(DATE($B$3,1,1) + (19+0.5)*365/50)</f>
        <v>0</v>
      </c>
      <c r="J976" s="2">
        <f>I976 - INT(ROUND($B$4 * 30.4375, 0) * (23+0.5)/50)</f>
        <v>0</v>
      </c>
      <c r="K976" s="4">
        <f>VLOOKUP(J976, '1_Rate_Changes'!$A$2:$C$100, 3, TRUE)</f>
        <v>0</v>
      </c>
    </row>
    <row r="977" spans="7:11">
      <c r="G977">
        <v>19</v>
      </c>
      <c r="H977">
        <v>24</v>
      </c>
      <c r="I977" s="2">
        <f>INT(DATE($B$3,1,1) + (19+0.5)*365/50)</f>
        <v>0</v>
      </c>
      <c r="J977" s="2">
        <f>I977 - INT(ROUND($B$4 * 30.4375, 0) * (24+0.5)/50)</f>
        <v>0</v>
      </c>
      <c r="K977" s="4">
        <f>VLOOKUP(J977, '1_Rate_Changes'!$A$2:$C$100, 3, TRUE)</f>
        <v>0</v>
      </c>
    </row>
    <row r="978" spans="7:11">
      <c r="G978">
        <v>19</v>
      </c>
      <c r="H978">
        <v>25</v>
      </c>
      <c r="I978" s="2">
        <f>INT(DATE($B$3,1,1) + (19+0.5)*365/50)</f>
        <v>0</v>
      </c>
      <c r="J978" s="2">
        <f>I978 - INT(ROUND($B$4 * 30.4375, 0) * (25+0.5)/50)</f>
        <v>0</v>
      </c>
      <c r="K978" s="4">
        <f>VLOOKUP(J978, '1_Rate_Changes'!$A$2:$C$100, 3, TRUE)</f>
        <v>0</v>
      </c>
    </row>
    <row r="979" spans="7:11">
      <c r="G979">
        <v>19</v>
      </c>
      <c r="H979">
        <v>26</v>
      </c>
      <c r="I979" s="2">
        <f>INT(DATE($B$3,1,1) + (19+0.5)*365/50)</f>
        <v>0</v>
      </c>
      <c r="J979" s="2">
        <f>I979 - INT(ROUND($B$4 * 30.4375, 0) * (26+0.5)/50)</f>
        <v>0</v>
      </c>
      <c r="K979" s="4">
        <f>VLOOKUP(J979, '1_Rate_Changes'!$A$2:$C$100, 3, TRUE)</f>
        <v>0</v>
      </c>
    </row>
    <row r="980" spans="7:11">
      <c r="G980">
        <v>19</v>
      </c>
      <c r="H980">
        <v>27</v>
      </c>
      <c r="I980" s="2">
        <f>INT(DATE($B$3,1,1) + (19+0.5)*365/50)</f>
        <v>0</v>
      </c>
      <c r="J980" s="2">
        <f>I980 - INT(ROUND($B$4 * 30.4375, 0) * (27+0.5)/50)</f>
        <v>0</v>
      </c>
      <c r="K980" s="4">
        <f>VLOOKUP(J980, '1_Rate_Changes'!$A$2:$C$100, 3, TRUE)</f>
        <v>0</v>
      </c>
    </row>
    <row r="981" spans="7:11">
      <c r="G981">
        <v>19</v>
      </c>
      <c r="H981">
        <v>28</v>
      </c>
      <c r="I981" s="2">
        <f>INT(DATE($B$3,1,1) + (19+0.5)*365/50)</f>
        <v>0</v>
      </c>
      <c r="J981" s="2">
        <f>I981 - INT(ROUND($B$4 * 30.4375, 0) * (28+0.5)/50)</f>
        <v>0</v>
      </c>
      <c r="K981" s="4">
        <f>VLOOKUP(J981, '1_Rate_Changes'!$A$2:$C$100, 3, TRUE)</f>
        <v>0</v>
      </c>
    </row>
    <row r="982" spans="7:11">
      <c r="G982">
        <v>19</v>
      </c>
      <c r="H982">
        <v>29</v>
      </c>
      <c r="I982" s="2">
        <f>INT(DATE($B$3,1,1) + (19+0.5)*365/50)</f>
        <v>0</v>
      </c>
      <c r="J982" s="2">
        <f>I982 - INT(ROUND($B$4 * 30.4375, 0) * (29+0.5)/50)</f>
        <v>0</v>
      </c>
      <c r="K982" s="4">
        <f>VLOOKUP(J982, '1_Rate_Changes'!$A$2:$C$100, 3, TRUE)</f>
        <v>0</v>
      </c>
    </row>
    <row r="983" spans="7:11">
      <c r="G983">
        <v>19</v>
      </c>
      <c r="H983">
        <v>30</v>
      </c>
      <c r="I983" s="2">
        <f>INT(DATE($B$3,1,1) + (19+0.5)*365/50)</f>
        <v>0</v>
      </c>
      <c r="J983" s="2">
        <f>I983 - INT(ROUND($B$4 * 30.4375, 0) * (30+0.5)/50)</f>
        <v>0</v>
      </c>
      <c r="K983" s="4">
        <f>VLOOKUP(J983, '1_Rate_Changes'!$A$2:$C$100, 3, TRUE)</f>
        <v>0</v>
      </c>
    </row>
    <row r="984" spans="7:11">
      <c r="G984">
        <v>19</v>
      </c>
      <c r="H984">
        <v>31</v>
      </c>
      <c r="I984" s="2">
        <f>INT(DATE($B$3,1,1) + (19+0.5)*365/50)</f>
        <v>0</v>
      </c>
      <c r="J984" s="2">
        <f>I984 - INT(ROUND($B$4 * 30.4375, 0) * (31+0.5)/50)</f>
        <v>0</v>
      </c>
      <c r="K984" s="4">
        <f>VLOOKUP(J984, '1_Rate_Changes'!$A$2:$C$100, 3, TRUE)</f>
        <v>0</v>
      </c>
    </row>
    <row r="985" spans="7:11">
      <c r="G985">
        <v>19</v>
      </c>
      <c r="H985">
        <v>32</v>
      </c>
      <c r="I985" s="2">
        <f>INT(DATE($B$3,1,1) + (19+0.5)*365/50)</f>
        <v>0</v>
      </c>
      <c r="J985" s="2">
        <f>I985 - INT(ROUND($B$4 * 30.4375, 0) * (32+0.5)/50)</f>
        <v>0</v>
      </c>
      <c r="K985" s="4">
        <f>VLOOKUP(J985, '1_Rate_Changes'!$A$2:$C$100, 3, TRUE)</f>
        <v>0</v>
      </c>
    </row>
    <row r="986" spans="7:11">
      <c r="G986">
        <v>19</v>
      </c>
      <c r="H986">
        <v>33</v>
      </c>
      <c r="I986" s="2">
        <f>INT(DATE($B$3,1,1) + (19+0.5)*365/50)</f>
        <v>0</v>
      </c>
      <c r="J986" s="2">
        <f>I986 - INT(ROUND($B$4 * 30.4375, 0) * (33+0.5)/50)</f>
        <v>0</v>
      </c>
      <c r="K986" s="4">
        <f>VLOOKUP(J986, '1_Rate_Changes'!$A$2:$C$100, 3, TRUE)</f>
        <v>0</v>
      </c>
    </row>
    <row r="987" spans="7:11">
      <c r="G987">
        <v>19</v>
      </c>
      <c r="H987">
        <v>34</v>
      </c>
      <c r="I987" s="2">
        <f>INT(DATE($B$3,1,1) + (19+0.5)*365/50)</f>
        <v>0</v>
      </c>
      <c r="J987" s="2">
        <f>I987 - INT(ROUND($B$4 * 30.4375, 0) * (34+0.5)/50)</f>
        <v>0</v>
      </c>
      <c r="K987" s="4">
        <f>VLOOKUP(J987, '1_Rate_Changes'!$A$2:$C$100, 3, TRUE)</f>
        <v>0</v>
      </c>
    </row>
    <row r="988" spans="7:11">
      <c r="G988">
        <v>19</v>
      </c>
      <c r="H988">
        <v>35</v>
      </c>
      <c r="I988" s="2">
        <f>INT(DATE($B$3,1,1) + (19+0.5)*365/50)</f>
        <v>0</v>
      </c>
      <c r="J988" s="2">
        <f>I988 - INT(ROUND($B$4 * 30.4375, 0) * (35+0.5)/50)</f>
        <v>0</v>
      </c>
      <c r="K988" s="4">
        <f>VLOOKUP(J988, '1_Rate_Changes'!$A$2:$C$100, 3, TRUE)</f>
        <v>0</v>
      </c>
    </row>
    <row r="989" spans="7:11">
      <c r="G989">
        <v>19</v>
      </c>
      <c r="H989">
        <v>36</v>
      </c>
      <c r="I989" s="2">
        <f>INT(DATE($B$3,1,1) + (19+0.5)*365/50)</f>
        <v>0</v>
      </c>
      <c r="J989" s="2">
        <f>I989 - INT(ROUND($B$4 * 30.4375, 0) * (36+0.5)/50)</f>
        <v>0</v>
      </c>
      <c r="K989" s="4">
        <f>VLOOKUP(J989, '1_Rate_Changes'!$A$2:$C$100, 3, TRUE)</f>
        <v>0</v>
      </c>
    </row>
    <row r="990" spans="7:11">
      <c r="G990">
        <v>19</v>
      </c>
      <c r="H990">
        <v>37</v>
      </c>
      <c r="I990" s="2">
        <f>INT(DATE($B$3,1,1) + (19+0.5)*365/50)</f>
        <v>0</v>
      </c>
      <c r="J990" s="2">
        <f>I990 - INT(ROUND($B$4 * 30.4375, 0) * (37+0.5)/50)</f>
        <v>0</v>
      </c>
      <c r="K990" s="4">
        <f>VLOOKUP(J990, '1_Rate_Changes'!$A$2:$C$100, 3, TRUE)</f>
        <v>0</v>
      </c>
    </row>
    <row r="991" spans="7:11">
      <c r="G991">
        <v>19</v>
      </c>
      <c r="H991">
        <v>38</v>
      </c>
      <c r="I991" s="2">
        <f>INT(DATE($B$3,1,1) + (19+0.5)*365/50)</f>
        <v>0</v>
      </c>
      <c r="J991" s="2">
        <f>I991 - INT(ROUND($B$4 * 30.4375, 0) * (38+0.5)/50)</f>
        <v>0</v>
      </c>
      <c r="K991" s="4">
        <f>VLOOKUP(J991, '1_Rate_Changes'!$A$2:$C$100, 3, TRUE)</f>
        <v>0</v>
      </c>
    </row>
    <row r="992" spans="7:11">
      <c r="G992">
        <v>19</v>
      </c>
      <c r="H992">
        <v>39</v>
      </c>
      <c r="I992" s="2">
        <f>INT(DATE($B$3,1,1) + (19+0.5)*365/50)</f>
        <v>0</v>
      </c>
      <c r="J992" s="2">
        <f>I992 - INT(ROUND($B$4 * 30.4375, 0) * (39+0.5)/50)</f>
        <v>0</v>
      </c>
      <c r="K992" s="4">
        <f>VLOOKUP(J992, '1_Rate_Changes'!$A$2:$C$100, 3, TRUE)</f>
        <v>0</v>
      </c>
    </row>
    <row r="993" spans="7:11">
      <c r="G993">
        <v>19</v>
      </c>
      <c r="H993">
        <v>40</v>
      </c>
      <c r="I993" s="2">
        <f>INT(DATE($B$3,1,1) + (19+0.5)*365/50)</f>
        <v>0</v>
      </c>
      <c r="J993" s="2">
        <f>I993 - INT(ROUND($B$4 * 30.4375, 0) * (40+0.5)/50)</f>
        <v>0</v>
      </c>
      <c r="K993" s="4">
        <f>VLOOKUP(J993, '1_Rate_Changes'!$A$2:$C$100, 3, TRUE)</f>
        <v>0</v>
      </c>
    </row>
    <row r="994" spans="7:11">
      <c r="G994">
        <v>19</v>
      </c>
      <c r="H994">
        <v>41</v>
      </c>
      <c r="I994" s="2">
        <f>INT(DATE($B$3,1,1) + (19+0.5)*365/50)</f>
        <v>0</v>
      </c>
      <c r="J994" s="2">
        <f>I994 - INT(ROUND($B$4 * 30.4375, 0) * (41+0.5)/50)</f>
        <v>0</v>
      </c>
      <c r="K994" s="4">
        <f>VLOOKUP(J994, '1_Rate_Changes'!$A$2:$C$100, 3, TRUE)</f>
        <v>0</v>
      </c>
    </row>
    <row r="995" spans="7:11">
      <c r="G995">
        <v>19</v>
      </c>
      <c r="H995">
        <v>42</v>
      </c>
      <c r="I995" s="2">
        <f>INT(DATE($B$3,1,1) + (19+0.5)*365/50)</f>
        <v>0</v>
      </c>
      <c r="J995" s="2">
        <f>I995 - INT(ROUND($B$4 * 30.4375, 0) * (42+0.5)/50)</f>
        <v>0</v>
      </c>
      <c r="K995" s="4">
        <f>VLOOKUP(J995, '1_Rate_Changes'!$A$2:$C$100, 3, TRUE)</f>
        <v>0</v>
      </c>
    </row>
    <row r="996" spans="7:11">
      <c r="G996">
        <v>19</v>
      </c>
      <c r="H996">
        <v>43</v>
      </c>
      <c r="I996" s="2">
        <f>INT(DATE($B$3,1,1) + (19+0.5)*365/50)</f>
        <v>0</v>
      </c>
      <c r="J996" s="2">
        <f>I996 - INT(ROUND($B$4 * 30.4375, 0) * (43+0.5)/50)</f>
        <v>0</v>
      </c>
      <c r="K996" s="4">
        <f>VLOOKUP(J996, '1_Rate_Changes'!$A$2:$C$100, 3, TRUE)</f>
        <v>0</v>
      </c>
    </row>
    <row r="997" spans="7:11">
      <c r="G997">
        <v>19</v>
      </c>
      <c r="H997">
        <v>44</v>
      </c>
      <c r="I997" s="2">
        <f>INT(DATE($B$3,1,1) + (19+0.5)*365/50)</f>
        <v>0</v>
      </c>
      <c r="J997" s="2">
        <f>I997 - INT(ROUND($B$4 * 30.4375, 0) * (44+0.5)/50)</f>
        <v>0</v>
      </c>
      <c r="K997" s="4">
        <f>VLOOKUP(J997, '1_Rate_Changes'!$A$2:$C$100, 3, TRUE)</f>
        <v>0</v>
      </c>
    </row>
    <row r="998" spans="7:11">
      <c r="G998">
        <v>19</v>
      </c>
      <c r="H998">
        <v>45</v>
      </c>
      <c r="I998" s="2">
        <f>INT(DATE($B$3,1,1) + (19+0.5)*365/50)</f>
        <v>0</v>
      </c>
      <c r="J998" s="2">
        <f>I998 - INT(ROUND($B$4 * 30.4375, 0) * (45+0.5)/50)</f>
        <v>0</v>
      </c>
      <c r="K998" s="4">
        <f>VLOOKUP(J998, '1_Rate_Changes'!$A$2:$C$100, 3, TRUE)</f>
        <v>0</v>
      </c>
    </row>
    <row r="999" spans="7:11">
      <c r="G999">
        <v>19</v>
      </c>
      <c r="H999">
        <v>46</v>
      </c>
      <c r="I999" s="2">
        <f>INT(DATE($B$3,1,1) + (19+0.5)*365/50)</f>
        <v>0</v>
      </c>
      <c r="J999" s="2">
        <f>I999 - INT(ROUND($B$4 * 30.4375, 0) * (46+0.5)/50)</f>
        <v>0</v>
      </c>
      <c r="K999" s="4">
        <f>VLOOKUP(J999, '1_Rate_Changes'!$A$2:$C$100, 3, TRUE)</f>
        <v>0</v>
      </c>
    </row>
    <row r="1000" spans="7:11">
      <c r="G1000">
        <v>19</v>
      </c>
      <c r="H1000">
        <v>47</v>
      </c>
      <c r="I1000" s="2">
        <f>INT(DATE($B$3,1,1) + (19+0.5)*365/50)</f>
        <v>0</v>
      </c>
      <c r="J1000" s="2">
        <f>I1000 - INT(ROUND($B$4 * 30.4375, 0) * (47+0.5)/50)</f>
        <v>0</v>
      </c>
      <c r="K1000" s="4">
        <f>VLOOKUP(J1000, '1_Rate_Changes'!$A$2:$C$100, 3, TRUE)</f>
        <v>0</v>
      </c>
    </row>
    <row r="1001" spans="7:11">
      <c r="G1001">
        <v>19</v>
      </c>
      <c r="H1001">
        <v>48</v>
      </c>
      <c r="I1001" s="2">
        <f>INT(DATE($B$3,1,1) + (19+0.5)*365/50)</f>
        <v>0</v>
      </c>
      <c r="J1001" s="2">
        <f>I1001 - INT(ROUND($B$4 * 30.4375, 0) * (48+0.5)/50)</f>
        <v>0</v>
      </c>
      <c r="K1001" s="4">
        <f>VLOOKUP(J1001, '1_Rate_Changes'!$A$2:$C$100, 3, TRUE)</f>
        <v>0</v>
      </c>
    </row>
    <row r="1002" spans="7:11">
      <c r="G1002">
        <v>19</v>
      </c>
      <c r="H1002">
        <v>49</v>
      </c>
      <c r="I1002" s="2">
        <f>INT(DATE($B$3,1,1) + (19+0.5)*365/50)</f>
        <v>0</v>
      </c>
      <c r="J1002" s="2">
        <f>I1002 - INT(ROUND($B$4 * 30.4375, 0) * (49+0.5)/50)</f>
        <v>0</v>
      </c>
      <c r="K1002" s="4">
        <f>VLOOKUP(J1002, '1_Rate_Changes'!$A$2:$C$100, 3, TRUE)</f>
        <v>0</v>
      </c>
    </row>
    <row r="1003" spans="7:11">
      <c r="G1003">
        <v>20</v>
      </c>
      <c r="H1003">
        <v>0</v>
      </c>
      <c r="I1003" s="2">
        <f>INT(DATE($B$3,1,1) + (20+0.5)*365/50)</f>
        <v>0</v>
      </c>
      <c r="J1003" s="2">
        <f>I1003 - INT(ROUND($B$4 * 30.4375, 0) * (0+0.5)/50)</f>
        <v>0</v>
      </c>
      <c r="K1003" s="4">
        <f>VLOOKUP(J1003, '1_Rate_Changes'!$A$2:$C$100, 3, TRUE)</f>
        <v>0</v>
      </c>
    </row>
    <row r="1004" spans="7:11">
      <c r="G1004">
        <v>20</v>
      </c>
      <c r="H1004">
        <v>1</v>
      </c>
      <c r="I1004" s="2">
        <f>INT(DATE($B$3,1,1) + (20+0.5)*365/50)</f>
        <v>0</v>
      </c>
      <c r="J1004" s="2">
        <f>I1004 - INT(ROUND($B$4 * 30.4375, 0) * (1+0.5)/50)</f>
        <v>0</v>
      </c>
      <c r="K1004" s="4">
        <f>VLOOKUP(J1004, '1_Rate_Changes'!$A$2:$C$100, 3, TRUE)</f>
        <v>0</v>
      </c>
    </row>
    <row r="1005" spans="7:11">
      <c r="G1005">
        <v>20</v>
      </c>
      <c r="H1005">
        <v>2</v>
      </c>
      <c r="I1005" s="2">
        <f>INT(DATE($B$3,1,1) + (20+0.5)*365/50)</f>
        <v>0</v>
      </c>
      <c r="J1005" s="2">
        <f>I1005 - INT(ROUND($B$4 * 30.4375, 0) * (2+0.5)/50)</f>
        <v>0</v>
      </c>
      <c r="K1005" s="4">
        <f>VLOOKUP(J1005, '1_Rate_Changes'!$A$2:$C$100, 3, TRUE)</f>
        <v>0</v>
      </c>
    </row>
    <row r="1006" spans="7:11">
      <c r="G1006">
        <v>20</v>
      </c>
      <c r="H1006">
        <v>3</v>
      </c>
      <c r="I1006" s="2">
        <f>INT(DATE($B$3,1,1) + (20+0.5)*365/50)</f>
        <v>0</v>
      </c>
      <c r="J1006" s="2">
        <f>I1006 - INT(ROUND($B$4 * 30.4375, 0) * (3+0.5)/50)</f>
        <v>0</v>
      </c>
      <c r="K1006" s="4">
        <f>VLOOKUP(J1006, '1_Rate_Changes'!$A$2:$C$100, 3, TRUE)</f>
        <v>0</v>
      </c>
    </row>
    <row r="1007" spans="7:11">
      <c r="G1007">
        <v>20</v>
      </c>
      <c r="H1007">
        <v>4</v>
      </c>
      <c r="I1007" s="2">
        <f>INT(DATE($B$3,1,1) + (20+0.5)*365/50)</f>
        <v>0</v>
      </c>
      <c r="J1007" s="2">
        <f>I1007 - INT(ROUND($B$4 * 30.4375, 0) * (4+0.5)/50)</f>
        <v>0</v>
      </c>
      <c r="K1007" s="4">
        <f>VLOOKUP(J1007, '1_Rate_Changes'!$A$2:$C$100, 3, TRUE)</f>
        <v>0</v>
      </c>
    </row>
    <row r="1008" spans="7:11">
      <c r="G1008">
        <v>20</v>
      </c>
      <c r="H1008">
        <v>5</v>
      </c>
      <c r="I1008" s="2">
        <f>INT(DATE($B$3,1,1) + (20+0.5)*365/50)</f>
        <v>0</v>
      </c>
      <c r="J1008" s="2">
        <f>I1008 - INT(ROUND($B$4 * 30.4375, 0) * (5+0.5)/50)</f>
        <v>0</v>
      </c>
      <c r="K1008" s="4">
        <f>VLOOKUP(J1008, '1_Rate_Changes'!$A$2:$C$100, 3, TRUE)</f>
        <v>0</v>
      </c>
    </row>
    <row r="1009" spans="7:11">
      <c r="G1009">
        <v>20</v>
      </c>
      <c r="H1009">
        <v>6</v>
      </c>
      <c r="I1009" s="2">
        <f>INT(DATE($B$3,1,1) + (20+0.5)*365/50)</f>
        <v>0</v>
      </c>
      <c r="J1009" s="2">
        <f>I1009 - INT(ROUND($B$4 * 30.4375, 0) * (6+0.5)/50)</f>
        <v>0</v>
      </c>
      <c r="K1009" s="4">
        <f>VLOOKUP(J1009, '1_Rate_Changes'!$A$2:$C$100, 3, TRUE)</f>
        <v>0</v>
      </c>
    </row>
    <row r="1010" spans="7:11">
      <c r="G1010">
        <v>20</v>
      </c>
      <c r="H1010">
        <v>7</v>
      </c>
      <c r="I1010" s="2">
        <f>INT(DATE($B$3,1,1) + (20+0.5)*365/50)</f>
        <v>0</v>
      </c>
      <c r="J1010" s="2">
        <f>I1010 - INT(ROUND($B$4 * 30.4375, 0) * (7+0.5)/50)</f>
        <v>0</v>
      </c>
      <c r="K1010" s="4">
        <f>VLOOKUP(J1010, '1_Rate_Changes'!$A$2:$C$100, 3, TRUE)</f>
        <v>0</v>
      </c>
    </row>
    <row r="1011" spans="7:11">
      <c r="G1011">
        <v>20</v>
      </c>
      <c r="H1011">
        <v>8</v>
      </c>
      <c r="I1011" s="2">
        <f>INT(DATE($B$3,1,1) + (20+0.5)*365/50)</f>
        <v>0</v>
      </c>
      <c r="J1011" s="2">
        <f>I1011 - INT(ROUND($B$4 * 30.4375, 0) * (8+0.5)/50)</f>
        <v>0</v>
      </c>
      <c r="K1011" s="4">
        <f>VLOOKUP(J1011, '1_Rate_Changes'!$A$2:$C$100, 3, TRUE)</f>
        <v>0</v>
      </c>
    </row>
    <row r="1012" spans="7:11">
      <c r="G1012">
        <v>20</v>
      </c>
      <c r="H1012">
        <v>9</v>
      </c>
      <c r="I1012" s="2">
        <f>INT(DATE($B$3,1,1) + (20+0.5)*365/50)</f>
        <v>0</v>
      </c>
      <c r="J1012" s="2">
        <f>I1012 - INT(ROUND($B$4 * 30.4375, 0) * (9+0.5)/50)</f>
        <v>0</v>
      </c>
      <c r="K1012" s="4">
        <f>VLOOKUP(J1012, '1_Rate_Changes'!$A$2:$C$100, 3, TRUE)</f>
        <v>0</v>
      </c>
    </row>
    <row r="1013" spans="7:11">
      <c r="G1013">
        <v>20</v>
      </c>
      <c r="H1013">
        <v>10</v>
      </c>
      <c r="I1013" s="2">
        <f>INT(DATE($B$3,1,1) + (20+0.5)*365/50)</f>
        <v>0</v>
      </c>
      <c r="J1013" s="2">
        <f>I1013 - INT(ROUND($B$4 * 30.4375, 0) * (10+0.5)/50)</f>
        <v>0</v>
      </c>
      <c r="K1013" s="4">
        <f>VLOOKUP(J1013, '1_Rate_Changes'!$A$2:$C$100, 3, TRUE)</f>
        <v>0</v>
      </c>
    </row>
    <row r="1014" spans="7:11">
      <c r="G1014">
        <v>20</v>
      </c>
      <c r="H1014">
        <v>11</v>
      </c>
      <c r="I1014" s="2">
        <f>INT(DATE($B$3,1,1) + (20+0.5)*365/50)</f>
        <v>0</v>
      </c>
      <c r="J1014" s="2">
        <f>I1014 - INT(ROUND($B$4 * 30.4375, 0) * (11+0.5)/50)</f>
        <v>0</v>
      </c>
      <c r="K1014" s="4">
        <f>VLOOKUP(J1014, '1_Rate_Changes'!$A$2:$C$100, 3, TRUE)</f>
        <v>0</v>
      </c>
    </row>
    <row r="1015" spans="7:11">
      <c r="G1015">
        <v>20</v>
      </c>
      <c r="H1015">
        <v>12</v>
      </c>
      <c r="I1015" s="2">
        <f>INT(DATE($B$3,1,1) + (20+0.5)*365/50)</f>
        <v>0</v>
      </c>
      <c r="J1015" s="2">
        <f>I1015 - INT(ROUND($B$4 * 30.4375, 0) * (12+0.5)/50)</f>
        <v>0</v>
      </c>
      <c r="K1015" s="4">
        <f>VLOOKUP(J1015, '1_Rate_Changes'!$A$2:$C$100, 3, TRUE)</f>
        <v>0</v>
      </c>
    </row>
    <row r="1016" spans="7:11">
      <c r="G1016">
        <v>20</v>
      </c>
      <c r="H1016">
        <v>13</v>
      </c>
      <c r="I1016" s="2">
        <f>INT(DATE($B$3,1,1) + (20+0.5)*365/50)</f>
        <v>0</v>
      </c>
      <c r="J1016" s="2">
        <f>I1016 - INT(ROUND($B$4 * 30.4375, 0) * (13+0.5)/50)</f>
        <v>0</v>
      </c>
      <c r="K1016" s="4">
        <f>VLOOKUP(J1016, '1_Rate_Changes'!$A$2:$C$100, 3, TRUE)</f>
        <v>0</v>
      </c>
    </row>
    <row r="1017" spans="7:11">
      <c r="G1017">
        <v>20</v>
      </c>
      <c r="H1017">
        <v>14</v>
      </c>
      <c r="I1017" s="2">
        <f>INT(DATE($B$3,1,1) + (20+0.5)*365/50)</f>
        <v>0</v>
      </c>
      <c r="J1017" s="2">
        <f>I1017 - INT(ROUND($B$4 * 30.4375, 0) * (14+0.5)/50)</f>
        <v>0</v>
      </c>
      <c r="K1017" s="4">
        <f>VLOOKUP(J1017, '1_Rate_Changes'!$A$2:$C$100, 3, TRUE)</f>
        <v>0</v>
      </c>
    </row>
    <row r="1018" spans="7:11">
      <c r="G1018">
        <v>20</v>
      </c>
      <c r="H1018">
        <v>15</v>
      </c>
      <c r="I1018" s="2">
        <f>INT(DATE($B$3,1,1) + (20+0.5)*365/50)</f>
        <v>0</v>
      </c>
      <c r="J1018" s="2">
        <f>I1018 - INT(ROUND($B$4 * 30.4375, 0) * (15+0.5)/50)</f>
        <v>0</v>
      </c>
      <c r="K1018" s="4">
        <f>VLOOKUP(J1018, '1_Rate_Changes'!$A$2:$C$100, 3, TRUE)</f>
        <v>0</v>
      </c>
    </row>
    <row r="1019" spans="7:11">
      <c r="G1019">
        <v>20</v>
      </c>
      <c r="H1019">
        <v>16</v>
      </c>
      <c r="I1019" s="2">
        <f>INT(DATE($B$3,1,1) + (20+0.5)*365/50)</f>
        <v>0</v>
      </c>
      <c r="J1019" s="2">
        <f>I1019 - INT(ROUND($B$4 * 30.4375, 0) * (16+0.5)/50)</f>
        <v>0</v>
      </c>
      <c r="K1019" s="4">
        <f>VLOOKUP(J1019, '1_Rate_Changes'!$A$2:$C$100, 3, TRUE)</f>
        <v>0</v>
      </c>
    </row>
    <row r="1020" spans="7:11">
      <c r="G1020">
        <v>20</v>
      </c>
      <c r="H1020">
        <v>17</v>
      </c>
      <c r="I1020" s="2">
        <f>INT(DATE($B$3,1,1) + (20+0.5)*365/50)</f>
        <v>0</v>
      </c>
      <c r="J1020" s="2">
        <f>I1020 - INT(ROUND($B$4 * 30.4375, 0) * (17+0.5)/50)</f>
        <v>0</v>
      </c>
      <c r="K1020" s="4">
        <f>VLOOKUP(J1020, '1_Rate_Changes'!$A$2:$C$100, 3, TRUE)</f>
        <v>0</v>
      </c>
    </row>
    <row r="1021" spans="7:11">
      <c r="G1021">
        <v>20</v>
      </c>
      <c r="H1021">
        <v>18</v>
      </c>
      <c r="I1021" s="2">
        <f>INT(DATE($B$3,1,1) + (20+0.5)*365/50)</f>
        <v>0</v>
      </c>
      <c r="J1021" s="2">
        <f>I1021 - INT(ROUND($B$4 * 30.4375, 0) * (18+0.5)/50)</f>
        <v>0</v>
      </c>
      <c r="K1021" s="4">
        <f>VLOOKUP(J1021, '1_Rate_Changes'!$A$2:$C$100, 3, TRUE)</f>
        <v>0</v>
      </c>
    </row>
    <row r="1022" spans="7:11">
      <c r="G1022">
        <v>20</v>
      </c>
      <c r="H1022">
        <v>19</v>
      </c>
      <c r="I1022" s="2">
        <f>INT(DATE($B$3,1,1) + (20+0.5)*365/50)</f>
        <v>0</v>
      </c>
      <c r="J1022" s="2">
        <f>I1022 - INT(ROUND($B$4 * 30.4375, 0) * (19+0.5)/50)</f>
        <v>0</v>
      </c>
      <c r="K1022" s="4">
        <f>VLOOKUP(J1022, '1_Rate_Changes'!$A$2:$C$100, 3, TRUE)</f>
        <v>0</v>
      </c>
    </row>
    <row r="1023" spans="7:11">
      <c r="G1023">
        <v>20</v>
      </c>
      <c r="H1023">
        <v>20</v>
      </c>
      <c r="I1023" s="2">
        <f>INT(DATE($B$3,1,1) + (20+0.5)*365/50)</f>
        <v>0</v>
      </c>
      <c r="J1023" s="2">
        <f>I1023 - INT(ROUND($B$4 * 30.4375, 0) * (20+0.5)/50)</f>
        <v>0</v>
      </c>
      <c r="K1023" s="4">
        <f>VLOOKUP(J1023, '1_Rate_Changes'!$A$2:$C$100, 3, TRUE)</f>
        <v>0</v>
      </c>
    </row>
    <row r="1024" spans="7:11">
      <c r="G1024">
        <v>20</v>
      </c>
      <c r="H1024">
        <v>21</v>
      </c>
      <c r="I1024" s="2">
        <f>INT(DATE($B$3,1,1) + (20+0.5)*365/50)</f>
        <v>0</v>
      </c>
      <c r="J1024" s="2">
        <f>I1024 - INT(ROUND($B$4 * 30.4375, 0) * (21+0.5)/50)</f>
        <v>0</v>
      </c>
      <c r="K1024" s="4">
        <f>VLOOKUP(J1024, '1_Rate_Changes'!$A$2:$C$100, 3, TRUE)</f>
        <v>0</v>
      </c>
    </row>
    <row r="1025" spans="7:11">
      <c r="G1025">
        <v>20</v>
      </c>
      <c r="H1025">
        <v>22</v>
      </c>
      <c r="I1025" s="2">
        <f>INT(DATE($B$3,1,1) + (20+0.5)*365/50)</f>
        <v>0</v>
      </c>
      <c r="J1025" s="2">
        <f>I1025 - INT(ROUND($B$4 * 30.4375, 0) * (22+0.5)/50)</f>
        <v>0</v>
      </c>
      <c r="K1025" s="4">
        <f>VLOOKUP(J1025, '1_Rate_Changes'!$A$2:$C$100, 3, TRUE)</f>
        <v>0</v>
      </c>
    </row>
    <row r="1026" spans="7:11">
      <c r="G1026">
        <v>20</v>
      </c>
      <c r="H1026">
        <v>23</v>
      </c>
      <c r="I1026" s="2">
        <f>INT(DATE($B$3,1,1) + (20+0.5)*365/50)</f>
        <v>0</v>
      </c>
      <c r="J1026" s="2">
        <f>I1026 - INT(ROUND($B$4 * 30.4375, 0) * (23+0.5)/50)</f>
        <v>0</v>
      </c>
      <c r="K1026" s="4">
        <f>VLOOKUP(J1026, '1_Rate_Changes'!$A$2:$C$100, 3, TRUE)</f>
        <v>0</v>
      </c>
    </row>
    <row r="1027" spans="7:11">
      <c r="G1027">
        <v>20</v>
      </c>
      <c r="H1027">
        <v>24</v>
      </c>
      <c r="I1027" s="2">
        <f>INT(DATE($B$3,1,1) + (20+0.5)*365/50)</f>
        <v>0</v>
      </c>
      <c r="J1027" s="2">
        <f>I1027 - INT(ROUND($B$4 * 30.4375, 0) * (24+0.5)/50)</f>
        <v>0</v>
      </c>
      <c r="K1027" s="4">
        <f>VLOOKUP(J1027, '1_Rate_Changes'!$A$2:$C$100, 3, TRUE)</f>
        <v>0</v>
      </c>
    </row>
    <row r="1028" spans="7:11">
      <c r="G1028">
        <v>20</v>
      </c>
      <c r="H1028">
        <v>25</v>
      </c>
      <c r="I1028" s="2">
        <f>INT(DATE($B$3,1,1) + (20+0.5)*365/50)</f>
        <v>0</v>
      </c>
      <c r="J1028" s="2">
        <f>I1028 - INT(ROUND($B$4 * 30.4375, 0) * (25+0.5)/50)</f>
        <v>0</v>
      </c>
      <c r="K1028" s="4">
        <f>VLOOKUP(J1028, '1_Rate_Changes'!$A$2:$C$100, 3, TRUE)</f>
        <v>0</v>
      </c>
    </row>
    <row r="1029" spans="7:11">
      <c r="G1029">
        <v>20</v>
      </c>
      <c r="H1029">
        <v>26</v>
      </c>
      <c r="I1029" s="2">
        <f>INT(DATE($B$3,1,1) + (20+0.5)*365/50)</f>
        <v>0</v>
      </c>
      <c r="J1029" s="2">
        <f>I1029 - INT(ROUND($B$4 * 30.4375, 0) * (26+0.5)/50)</f>
        <v>0</v>
      </c>
      <c r="K1029" s="4">
        <f>VLOOKUP(J1029, '1_Rate_Changes'!$A$2:$C$100, 3, TRUE)</f>
        <v>0</v>
      </c>
    </row>
    <row r="1030" spans="7:11">
      <c r="G1030">
        <v>20</v>
      </c>
      <c r="H1030">
        <v>27</v>
      </c>
      <c r="I1030" s="2">
        <f>INT(DATE($B$3,1,1) + (20+0.5)*365/50)</f>
        <v>0</v>
      </c>
      <c r="J1030" s="2">
        <f>I1030 - INT(ROUND($B$4 * 30.4375, 0) * (27+0.5)/50)</f>
        <v>0</v>
      </c>
      <c r="K1030" s="4">
        <f>VLOOKUP(J1030, '1_Rate_Changes'!$A$2:$C$100, 3, TRUE)</f>
        <v>0</v>
      </c>
    </row>
    <row r="1031" spans="7:11">
      <c r="G1031">
        <v>20</v>
      </c>
      <c r="H1031">
        <v>28</v>
      </c>
      <c r="I1031" s="2">
        <f>INT(DATE($B$3,1,1) + (20+0.5)*365/50)</f>
        <v>0</v>
      </c>
      <c r="J1031" s="2">
        <f>I1031 - INT(ROUND($B$4 * 30.4375, 0) * (28+0.5)/50)</f>
        <v>0</v>
      </c>
      <c r="K1031" s="4">
        <f>VLOOKUP(J1031, '1_Rate_Changes'!$A$2:$C$100, 3, TRUE)</f>
        <v>0</v>
      </c>
    </row>
    <row r="1032" spans="7:11">
      <c r="G1032">
        <v>20</v>
      </c>
      <c r="H1032">
        <v>29</v>
      </c>
      <c r="I1032" s="2">
        <f>INT(DATE($B$3,1,1) + (20+0.5)*365/50)</f>
        <v>0</v>
      </c>
      <c r="J1032" s="2">
        <f>I1032 - INT(ROUND($B$4 * 30.4375, 0) * (29+0.5)/50)</f>
        <v>0</v>
      </c>
      <c r="K1032" s="4">
        <f>VLOOKUP(J1032, '1_Rate_Changes'!$A$2:$C$100, 3, TRUE)</f>
        <v>0</v>
      </c>
    </row>
    <row r="1033" spans="7:11">
      <c r="G1033">
        <v>20</v>
      </c>
      <c r="H1033">
        <v>30</v>
      </c>
      <c r="I1033" s="2">
        <f>INT(DATE($B$3,1,1) + (20+0.5)*365/50)</f>
        <v>0</v>
      </c>
      <c r="J1033" s="2">
        <f>I1033 - INT(ROUND($B$4 * 30.4375, 0) * (30+0.5)/50)</f>
        <v>0</v>
      </c>
      <c r="K1033" s="4">
        <f>VLOOKUP(J1033, '1_Rate_Changes'!$A$2:$C$100, 3, TRUE)</f>
        <v>0</v>
      </c>
    </row>
    <row r="1034" spans="7:11">
      <c r="G1034">
        <v>20</v>
      </c>
      <c r="H1034">
        <v>31</v>
      </c>
      <c r="I1034" s="2">
        <f>INT(DATE($B$3,1,1) + (20+0.5)*365/50)</f>
        <v>0</v>
      </c>
      <c r="J1034" s="2">
        <f>I1034 - INT(ROUND($B$4 * 30.4375, 0) * (31+0.5)/50)</f>
        <v>0</v>
      </c>
      <c r="K1034" s="4">
        <f>VLOOKUP(J1034, '1_Rate_Changes'!$A$2:$C$100, 3, TRUE)</f>
        <v>0</v>
      </c>
    </row>
    <row r="1035" spans="7:11">
      <c r="G1035">
        <v>20</v>
      </c>
      <c r="H1035">
        <v>32</v>
      </c>
      <c r="I1035" s="2">
        <f>INT(DATE($B$3,1,1) + (20+0.5)*365/50)</f>
        <v>0</v>
      </c>
      <c r="J1035" s="2">
        <f>I1035 - INT(ROUND($B$4 * 30.4375, 0) * (32+0.5)/50)</f>
        <v>0</v>
      </c>
      <c r="K1035" s="4">
        <f>VLOOKUP(J1035, '1_Rate_Changes'!$A$2:$C$100, 3, TRUE)</f>
        <v>0</v>
      </c>
    </row>
    <row r="1036" spans="7:11">
      <c r="G1036">
        <v>20</v>
      </c>
      <c r="H1036">
        <v>33</v>
      </c>
      <c r="I1036" s="2">
        <f>INT(DATE($B$3,1,1) + (20+0.5)*365/50)</f>
        <v>0</v>
      </c>
      <c r="J1036" s="2">
        <f>I1036 - INT(ROUND($B$4 * 30.4375, 0) * (33+0.5)/50)</f>
        <v>0</v>
      </c>
      <c r="K1036" s="4">
        <f>VLOOKUP(J1036, '1_Rate_Changes'!$A$2:$C$100, 3, TRUE)</f>
        <v>0</v>
      </c>
    </row>
    <row r="1037" spans="7:11">
      <c r="G1037">
        <v>20</v>
      </c>
      <c r="H1037">
        <v>34</v>
      </c>
      <c r="I1037" s="2">
        <f>INT(DATE($B$3,1,1) + (20+0.5)*365/50)</f>
        <v>0</v>
      </c>
      <c r="J1037" s="2">
        <f>I1037 - INT(ROUND($B$4 * 30.4375, 0) * (34+0.5)/50)</f>
        <v>0</v>
      </c>
      <c r="K1037" s="4">
        <f>VLOOKUP(J1037, '1_Rate_Changes'!$A$2:$C$100, 3, TRUE)</f>
        <v>0</v>
      </c>
    </row>
    <row r="1038" spans="7:11">
      <c r="G1038">
        <v>20</v>
      </c>
      <c r="H1038">
        <v>35</v>
      </c>
      <c r="I1038" s="2">
        <f>INT(DATE($B$3,1,1) + (20+0.5)*365/50)</f>
        <v>0</v>
      </c>
      <c r="J1038" s="2">
        <f>I1038 - INT(ROUND($B$4 * 30.4375, 0) * (35+0.5)/50)</f>
        <v>0</v>
      </c>
      <c r="K1038" s="4">
        <f>VLOOKUP(J1038, '1_Rate_Changes'!$A$2:$C$100, 3, TRUE)</f>
        <v>0</v>
      </c>
    </row>
    <row r="1039" spans="7:11">
      <c r="G1039">
        <v>20</v>
      </c>
      <c r="H1039">
        <v>36</v>
      </c>
      <c r="I1039" s="2">
        <f>INT(DATE($B$3,1,1) + (20+0.5)*365/50)</f>
        <v>0</v>
      </c>
      <c r="J1039" s="2">
        <f>I1039 - INT(ROUND($B$4 * 30.4375, 0) * (36+0.5)/50)</f>
        <v>0</v>
      </c>
      <c r="K1039" s="4">
        <f>VLOOKUP(J1039, '1_Rate_Changes'!$A$2:$C$100, 3, TRUE)</f>
        <v>0</v>
      </c>
    </row>
    <row r="1040" spans="7:11">
      <c r="G1040">
        <v>20</v>
      </c>
      <c r="H1040">
        <v>37</v>
      </c>
      <c r="I1040" s="2">
        <f>INT(DATE($B$3,1,1) + (20+0.5)*365/50)</f>
        <v>0</v>
      </c>
      <c r="J1040" s="2">
        <f>I1040 - INT(ROUND($B$4 * 30.4375, 0) * (37+0.5)/50)</f>
        <v>0</v>
      </c>
      <c r="K1040" s="4">
        <f>VLOOKUP(J1040, '1_Rate_Changes'!$A$2:$C$100, 3, TRUE)</f>
        <v>0</v>
      </c>
    </row>
    <row r="1041" spans="7:11">
      <c r="G1041">
        <v>20</v>
      </c>
      <c r="H1041">
        <v>38</v>
      </c>
      <c r="I1041" s="2">
        <f>INT(DATE($B$3,1,1) + (20+0.5)*365/50)</f>
        <v>0</v>
      </c>
      <c r="J1041" s="2">
        <f>I1041 - INT(ROUND($B$4 * 30.4375, 0) * (38+0.5)/50)</f>
        <v>0</v>
      </c>
      <c r="K1041" s="4">
        <f>VLOOKUP(J1041, '1_Rate_Changes'!$A$2:$C$100, 3, TRUE)</f>
        <v>0</v>
      </c>
    </row>
    <row r="1042" spans="7:11">
      <c r="G1042">
        <v>20</v>
      </c>
      <c r="H1042">
        <v>39</v>
      </c>
      <c r="I1042" s="2">
        <f>INT(DATE($B$3,1,1) + (20+0.5)*365/50)</f>
        <v>0</v>
      </c>
      <c r="J1042" s="2">
        <f>I1042 - INT(ROUND($B$4 * 30.4375, 0) * (39+0.5)/50)</f>
        <v>0</v>
      </c>
      <c r="K1042" s="4">
        <f>VLOOKUP(J1042, '1_Rate_Changes'!$A$2:$C$100, 3, TRUE)</f>
        <v>0</v>
      </c>
    </row>
    <row r="1043" spans="7:11">
      <c r="G1043">
        <v>20</v>
      </c>
      <c r="H1043">
        <v>40</v>
      </c>
      <c r="I1043" s="2">
        <f>INT(DATE($B$3,1,1) + (20+0.5)*365/50)</f>
        <v>0</v>
      </c>
      <c r="J1043" s="2">
        <f>I1043 - INT(ROUND($B$4 * 30.4375, 0) * (40+0.5)/50)</f>
        <v>0</v>
      </c>
      <c r="K1043" s="4">
        <f>VLOOKUP(J1043, '1_Rate_Changes'!$A$2:$C$100, 3, TRUE)</f>
        <v>0</v>
      </c>
    </row>
    <row r="1044" spans="7:11">
      <c r="G1044">
        <v>20</v>
      </c>
      <c r="H1044">
        <v>41</v>
      </c>
      <c r="I1044" s="2">
        <f>INT(DATE($B$3,1,1) + (20+0.5)*365/50)</f>
        <v>0</v>
      </c>
      <c r="J1044" s="2">
        <f>I1044 - INT(ROUND($B$4 * 30.4375, 0) * (41+0.5)/50)</f>
        <v>0</v>
      </c>
      <c r="K1044" s="4">
        <f>VLOOKUP(J1044, '1_Rate_Changes'!$A$2:$C$100, 3, TRUE)</f>
        <v>0</v>
      </c>
    </row>
    <row r="1045" spans="7:11">
      <c r="G1045">
        <v>20</v>
      </c>
      <c r="H1045">
        <v>42</v>
      </c>
      <c r="I1045" s="2">
        <f>INT(DATE($B$3,1,1) + (20+0.5)*365/50)</f>
        <v>0</v>
      </c>
      <c r="J1045" s="2">
        <f>I1045 - INT(ROUND($B$4 * 30.4375, 0) * (42+0.5)/50)</f>
        <v>0</v>
      </c>
      <c r="K1045" s="4">
        <f>VLOOKUP(J1045, '1_Rate_Changes'!$A$2:$C$100, 3, TRUE)</f>
        <v>0</v>
      </c>
    </row>
    <row r="1046" spans="7:11">
      <c r="G1046">
        <v>20</v>
      </c>
      <c r="H1046">
        <v>43</v>
      </c>
      <c r="I1046" s="2">
        <f>INT(DATE($B$3,1,1) + (20+0.5)*365/50)</f>
        <v>0</v>
      </c>
      <c r="J1046" s="2">
        <f>I1046 - INT(ROUND($B$4 * 30.4375, 0) * (43+0.5)/50)</f>
        <v>0</v>
      </c>
      <c r="K1046" s="4">
        <f>VLOOKUP(J1046, '1_Rate_Changes'!$A$2:$C$100, 3, TRUE)</f>
        <v>0</v>
      </c>
    </row>
    <row r="1047" spans="7:11">
      <c r="G1047">
        <v>20</v>
      </c>
      <c r="H1047">
        <v>44</v>
      </c>
      <c r="I1047" s="2">
        <f>INT(DATE($B$3,1,1) + (20+0.5)*365/50)</f>
        <v>0</v>
      </c>
      <c r="J1047" s="2">
        <f>I1047 - INT(ROUND($B$4 * 30.4375, 0) * (44+0.5)/50)</f>
        <v>0</v>
      </c>
      <c r="K1047" s="4">
        <f>VLOOKUP(J1047, '1_Rate_Changes'!$A$2:$C$100, 3, TRUE)</f>
        <v>0</v>
      </c>
    </row>
    <row r="1048" spans="7:11">
      <c r="G1048">
        <v>20</v>
      </c>
      <c r="H1048">
        <v>45</v>
      </c>
      <c r="I1048" s="2">
        <f>INT(DATE($B$3,1,1) + (20+0.5)*365/50)</f>
        <v>0</v>
      </c>
      <c r="J1048" s="2">
        <f>I1048 - INT(ROUND($B$4 * 30.4375, 0) * (45+0.5)/50)</f>
        <v>0</v>
      </c>
      <c r="K1048" s="4">
        <f>VLOOKUP(J1048, '1_Rate_Changes'!$A$2:$C$100, 3, TRUE)</f>
        <v>0</v>
      </c>
    </row>
    <row r="1049" spans="7:11">
      <c r="G1049">
        <v>20</v>
      </c>
      <c r="H1049">
        <v>46</v>
      </c>
      <c r="I1049" s="2">
        <f>INT(DATE($B$3,1,1) + (20+0.5)*365/50)</f>
        <v>0</v>
      </c>
      <c r="J1049" s="2">
        <f>I1049 - INT(ROUND($B$4 * 30.4375, 0) * (46+0.5)/50)</f>
        <v>0</v>
      </c>
      <c r="K1049" s="4">
        <f>VLOOKUP(J1049, '1_Rate_Changes'!$A$2:$C$100, 3, TRUE)</f>
        <v>0</v>
      </c>
    </row>
    <row r="1050" spans="7:11">
      <c r="G1050">
        <v>20</v>
      </c>
      <c r="H1050">
        <v>47</v>
      </c>
      <c r="I1050" s="2">
        <f>INT(DATE($B$3,1,1) + (20+0.5)*365/50)</f>
        <v>0</v>
      </c>
      <c r="J1050" s="2">
        <f>I1050 - INT(ROUND($B$4 * 30.4375, 0) * (47+0.5)/50)</f>
        <v>0</v>
      </c>
      <c r="K1050" s="4">
        <f>VLOOKUP(J1050, '1_Rate_Changes'!$A$2:$C$100, 3, TRUE)</f>
        <v>0</v>
      </c>
    </row>
    <row r="1051" spans="7:11">
      <c r="G1051">
        <v>20</v>
      </c>
      <c r="H1051">
        <v>48</v>
      </c>
      <c r="I1051" s="2">
        <f>INT(DATE($B$3,1,1) + (20+0.5)*365/50)</f>
        <v>0</v>
      </c>
      <c r="J1051" s="2">
        <f>I1051 - INT(ROUND($B$4 * 30.4375, 0) * (48+0.5)/50)</f>
        <v>0</v>
      </c>
      <c r="K1051" s="4">
        <f>VLOOKUP(J1051, '1_Rate_Changes'!$A$2:$C$100, 3, TRUE)</f>
        <v>0</v>
      </c>
    </row>
    <row r="1052" spans="7:11">
      <c r="G1052">
        <v>20</v>
      </c>
      <c r="H1052">
        <v>49</v>
      </c>
      <c r="I1052" s="2">
        <f>INT(DATE($B$3,1,1) + (20+0.5)*365/50)</f>
        <v>0</v>
      </c>
      <c r="J1052" s="2">
        <f>I1052 - INT(ROUND($B$4 * 30.4375, 0) * (49+0.5)/50)</f>
        <v>0</v>
      </c>
      <c r="K1052" s="4">
        <f>VLOOKUP(J1052, '1_Rate_Changes'!$A$2:$C$100, 3, TRUE)</f>
        <v>0</v>
      </c>
    </row>
    <row r="1053" spans="7:11">
      <c r="G1053">
        <v>21</v>
      </c>
      <c r="H1053">
        <v>0</v>
      </c>
      <c r="I1053" s="2">
        <f>INT(DATE($B$3,1,1) + (21+0.5)*365/50)</f>
        <v>0</v>
      </c>
      <c r="J1053" s="2">
        <f>I1053 - INT(ROUND($B$4 * 30.4375, 0) * (0+0.5)/50)</f>
        <v>0</v>
      </c>
      <c r="K1053" s="4">
        <f>VLOOKUP(J1053, '1_Rate_Changes'!$A$2:$C$100, 3, TRUE)</f>
        <v>0</v>
      </c>
    </row>
    <row r="1054" spans="7:11">
      <c r="G1054">
        <v>21</v>
      </c>
      <c r="H1054">
        <v>1</v>
      </c>
      <c r="I1054" s="2">
        <f>INT(DATE($B$3,1,1) + (21+0.5)*365/50)</f>
        <v>0</v>
      </c>
      <c r="J1054" s="2">
        <f>I1054 - INT(ROUND($B$4 * 30.4375, 0) * (1+0.5)/50)</f>
        <v>0</v>
      </c>
      <c r="K1054" s="4">
        <f>VLOOKUP(J1054, '1_Rate_Changes'!$A$2:$C$100, 3, TRUE)</f>
        <v>0</v>
      </c>
    </row>
    <row r="1055" spans="7:11">
      <c r="G1055">
        <v>21</v>
      </c>
      <c r="H1055">
        <v>2</v>
      </c>
      <c r="I1055" s="2">
        <f>INT(DATE($B$3,1,1) + (21+0.5)*365/50)</f>
        <v>0</v>
      </c>
      <c r="J1055" s="2">
        <f>I1055 - INT(ROUND($B$4 * 30.4375, 0) * (2+0.5)/50)</f>
        <v>0</v>
      </c>
      <c r="K1055" s="4">
        <f>VLOOKUP(J1055, '1_Rate_Changes'!$A$2:$C$100, 3, TRUE)</f>
        <v>0</v>
      </c>
    </row>
    <row r="1056" spans="7:11">
      <c r="G1056">
        <v>21</v>
      </c>
      <c r="H1056">
        <v>3</v>
      </c>
      <c r="I1056" s="2">
        <f>INT(DATE($B$3,1,1) + (21+0.5)*365/50)</f>
        <v>0</v>
      </c>
      <c r="J1056" s="2">
        <f>I1056 - INT(ROUND($B$4 * 30.4375, 0) * (3+0.5)/50)</f>
        <v>0</v>
      </c>
      <c r="K1056" s="4">
        <f>VLOOKUP(J1056, '1_Rate_Changes'!$A$2:$C$100, 3, TRUE)</f>
        <v>0</v>
      </c>
    </row>
    <row r="1057" spans="7:11">
      <c r="G1057">
        <v>21</v>
      </c>
      <c r="H1057">
        <v>4</v>
      </c>
      <c r="I1057" s="2">
        <f>INT(DATE($B$3,1,1) + (21+0.5)*365/50)</f>
        <v>0</v>
      </c>
      <c r="J1057" s="2">
        <f>I1057 - INT(ROUND($B$4 * 30.4375, 0) * (4+0.5)/50)</f>
        <v>0</v>
      </c>
      <c r="K1057" s="4">
        <f>VLOOKUP(J1057, '1_Rate_Changes'!$A$2:$C$100, 3, TRUE)</f>
        <v>0</v>
      </c>
    </row>
    <row r="1058" spans="7:11">
      <c r="G1058">
        <v>21</v>
      </c>
      <c r="H1058">
        <v>5</v>
      </c>
      <c r="I1058" s="2">
        <f>INT(DATE($B$3,1,1) + (21+0.5)*365/50)</f>
        <v>0</v>
      </c>
      <c r="J1058" s="2">
        <f>I1058 - INT(ROUND($B$4 * 30.4375, 0) * (5+0.5)/50)</f>
        <v>0</v>
      </c>
      <c r="K1058" s="4">
        <f>VLOOKUP(J1058, '1_Rate_Changes'!$A$2:$C$100, 3, TRUE)</f>
        <v>0</v>
      </c>
    </row>
    <row r="1059" spans="7:11">
      <c r="G1059">
        <v>21</v>
      </c>
      <c r="H1059">
        <v>6</v>
      </c>
      <c r="I1059" s="2">
        <f>INT(DATE($B$3,1,1) + (21+0.5)*365/50)</f>
        <v>0</v>
      </c>
      <c r="J1059" s="2">
        <f>I1059 - INT(ROUND($B$4 * 30.4375, 0) * (6+0.5)/50)</f>
        <v>0</v>
      </c>
      <c r="K1059" s="4">
        <f>VLOOKUP(J1059, '1_Rate_Changes'!$A$2:$C$100, 3, TRUE)</f>
        <v>0</v>
      </c>
    </row>
    <row r="1060" spans="7:11">
      <c r="G1060">
        <v>21</v>
      </c>
      <c r="H1060">
        <v>7</v>
      </c>
      <c r="I1060" s="2">
        <f>INT(DATE($B$3,1,1) + (21+0.5)*365/50)</f>
        <v>0</v>
      </c>
      <c r="J1060" s="2">
        <f>I1060 - INT(ROUND($B$4 * 30.4375, 0) * (7+0.5)/50)</f>
        <v>0</v>
      </c>
      <c r="K1060" s="4">
        <f>VLOOKUP(J1060, '1_Rate_Changes'!$A$2:$C$100, 3, TRUE)</f>
        <v>0</v>
      </c>
    </row>
    <row r="1061" spans="7:11">
      <c r="G1061">
        <v>21</v>
      </c>
      <c r="H1061">
        <v>8</v>
      </c>
      <c r="I1061" s="2">
        <f>INT(DATE($B$3,1,1) + (21+0.5)*365/50)</f>
        <v>0</v>
      </c>
      <c r="J1061" s="2">
        <f>I1061 - INT(ROUND($B$4 * 30.4375, 0) * (8+0.5)/50)</f>
        <v>0</v>
      </c>
      <c r="K1061" s="4">
        <f>VLOOKUP(J1061, '1_Rate_Changes'!$A$2:$C$100, 3, TRUE)</f>
        <v>0</v>
      </c>
    </row>
    <row r="1062" spans="7:11">
      <c r="G1062">
        <v>21</v>
      </c>
      <c r="H1062">
        <v>9</v>
      </c>
      <c r="I1062" s="2">
        <f>INT(DATE($B$3,1,1) + (21+0.5)*365/50)</f>
        <v>0</v>
      </c>
      <c r="J1062" s="2">
        <f>I1062 - INT(ROUND($B$4 * 30.4375, 0) * (9+0.5)/50)</f>
        <v>0</v>
      </c>
      <c r="K1062" s="4">
        <f>VLOOKUP(J1062, '1_Rate_Changes'!$A$2:$C$100, 3, TRUE)</f>
        <v>0</v>
      </c>
    </row>
    <row r="1063" spans="7:11">
      <c r="G1063">
        <v>21</v>
      </c>
      <c r="H1063">
        <v>10</v>
      </c>
      <c r="I1063" s="2">
        <f>INT(DATE($B$3,1,1) + (21+0.5)*365/50)</f>
        <v>0</v>
      </c>
      <c r="J1063" s="2">
        <f>I1063 - INT(ROUND($B$4 * 30.4375, 0) * (10+0.5)/50)</f>
        <v>0</v>
      </c>
      <c r="K1063" s="4">
        <f>VLOOKUP(J1063, '1_Rate_Changes'!$A$2:$C$100, 3, TRUE)</f>
        <v>0</v>
      </c>
    </row>
    <row r="1064" spans="7:11">
      <c r="G1064">
        <v>21</v>
      </c>
      <c r="H1064">
        <v>11</v>
      </c>
      <c r="I1064" s="2">
        <f>INT(DATE($B$3,1,1) + (21+0.5)*365/50)</f>
        <v>0</v>
      </c>
      <c r="J1064" s="2">
        <f>I1064 - INT(ROUND($B$4 * 30.4375, 0) * (11+0.5)/50)</f>
        <v>0</v>
      </c>
      <c r="K1064" s="4">
        <f>VLOOKUP(J1064, '1_Rate_Changes'!$A$2:$C$100, 3, TRUE)</f>
        <v>0</v>
      </c>
    </row>
    <row r="1065" spans="7:11">
      <c r="G1065">
        <v>21</v>
      </c>
      <c r="H1065">
        <v>12</v>
      </c>
      <c r="I1065" s="2">
        <f>INT(DATE($B$3,1,1) + (21+0.5)*365/50)</f>
        <v>0</v>
      </c>
      <c r="J1065" s="2">
        <f>I1065 - INT(ROUND($B$4 * 30.4375, 0) * (12+0.5)/50)</f>
        <v>0</v>
      </c>
      <c r="K1065" s="4">
        <f>VLOOKUP(J1065, '1_Rate_Changes'!$A$2:$C$100, 3, TRUE)</f>
        <v>0</v>
      </c>
    </row>
    <row r="1066" spans="7:11">
      <c r="G1066">
        <v>21</v>
      </c>
      <c r="H1066">
        <v>13</v>
      </c>
      <c r="I1066" s="2">
        <f>INT(DATE($B$3,1,1) + (21+0.5)*365/50)</f>
        <v>0</v>
      </c>
      <c r="J1066" s="2">
        <f>I1066 - INT(ROUND($B$4 * 30.4375, 0) * (13+0.5)/50)</f>
        <v>0</v>
      </c>
      <c r="K1066" s="4">
        <f>VLOOKUP(J1066, '1_Rate_Changes'!$A$2:$C$100, 3, TRUE)</f>
        <v>0</v>
      </c>
    </row>
    <row r="1067" spans="7:11">
      <c r="G1067">
        <v>21</v>
      </c>
      <c r="H1067">
        <v>14</v>
      </c>
      <c r="I1067" s="2">
        <f>INT(DATE($B$3,1,1) + (21+0.5)*365/50)</f>
        <v>0</v>
      </c>
      <c r="J1067" s="2">
        <f>I1067 - INT(ROUND($B$4 * 30.4375, 0) * (14+0.5)/50)</f>
        <v>0</v>
      </c>
      <c r="K1067" s="4">
        <f>VLOOKUP(J1067, '1_Rate_Changes'!$A$2:$C$100, 3, TRUE)</f>
        <v>0</v>
      </c>
    </row>
    <row r="1068" spans="7:11">
      <c r="G1068">
        <v>21</v>
      </c>
      <c r="H1068">
        <v>15</v>
      </c>
      <c r="I1068" s="2">
        <f>INT(DATE($B$3,1,1) + (21+0.5)*365/50)</f>
        <v>0</v>
      </c>
      <c r="J1068" s="2">
        <f>I1068 - INT(ROUND($B$4 * 30.4375, 0) * (15+0.5)/50)</f>
        <v>0</v>
      </c>
      <c r="K1068" s="4">
        <f>VLOOKUP(J1068, '1_Rate_Changes'!$A$2:$C$100, 3, TRUE)</f>
        <v>0</v>
      </c>
    </row>
    <row r="1069" spans="7:11">
      <c r="G1069">
        <v>21</v>
      </c>
      <c r="H1069">
        <v>16</v>
      </c>
      <c r="I1069" s="2">
        <f>INT(DATE($B$3,1,1) + (21+0.5)*365/50)</f>
        <v>0</v>
      </c>
      <c r="J1069" s="2">
        <f>I1069 - INT(ROUND($B$4 * 30.4375, 0) * (16+0.5)/50)</f>
        <v>0</v>
      </c>
      <c r="K1069" s="4">
        <f>VLOOKUP(J1069, '1_Rate_Changes'!$A$2:$C$100, 3, TRUE)</f>
        <v>0</v>
      </c>
    </row>
    <row r="1070" spans="7:11">
      <c r="G1070">
        <v>21</v>
      </c>
      <c r="H1070">
        <v>17</v>
      </c>
      <c r="I1070" s="2">
        <f>INT(DATE($B$3,1,1) + (21+0.5)*365/50)</f>
        <v>0</v>
      </c>
      <c r="J1070" s="2">
        <f>I1070 - INT(ROUND($B$4 * 30.4375, 0) * (17+0.5)/50)</f>
        <v>0</v>
      </c>
      <c r="K1070" s="4">
        <f>VLOOKUP(J1070, '1_Rate_Changes'!$A$2:$C$100, 3, TRUE)</f>
        <v>0</v>
      </c>
    </row>
    <row r="1071" spans="7:11">
      <c r="G1071">
        <v>21</v>
      </c>
      <c r="H1071">
        <v>18</v>
      </c>
      <c r="I1071" s="2">
        <f>INT(DATE($B$3,1,1) + (21+0.5)*365/50)</f>
        <v>0</v>
      </c>
      <c r="J1071" s="2">
        <f>I1071 - INT(ROUND($B$4 * 30.4375, 0) * (18+0.5)/50)</f>
        <v>0</v>
      </c>
      <c r="K1071" s="4">
        <f>VLOOKUP(J1071, '1_Rate_Changes'!$A$2:$C$100, 3, TRUE)</f>
        <v>0</v>
      </c>
    </row>
    <row r="1072" spans="7:11">
      <c r="G1072">
        <v>21</v>
      </c>
      <c r="H1072">
        <v>19</v>
      </c>
      <c r="I1072" s="2">
        <f>INT(DATE($B$3,1,1) + (21+0.5)*365/50)</f>
        <v>0</v>
      </c>
      <c r="J1072" s="2">
        <f>I1072 - INT(ROUND($B$4 * 30.4375, 0) * (19+0.5)/50)</f>
        <v>0</v>
      </c>
      <c r="K1072" s="4">
        <f>VLOOKUP(J1072, '1_Rate_Changes'!$A$2:$C$100, 3, TRUE)</f>
        <v>0</v>
      </c>
    </row>
    <row r="1073" spans="7:11">
      <c r="G1073">
        <v>21</v>
      </c>
      <c r="H1073">
        <v>20</v>
      </c>
      <c r="I1073" s="2">
        <f>INT(DATE($B$3,1,1) + (21+0.5)*365/50)</f>
        <v>0</v>
      </c>
      <c r="J1073" s="2">
        <f>I1073 - INT(ROUND($B$4 * 30.4375, 0) * (20+0.5)/50)</f>
        <v>0</v>
      </c>
      <c r="K1073" s="4">
        <f>VLOOKUP(J1073, '1_Rate_Changes'!$A$2:$C$100, 3, TRUE)</f>
        <v>0</v>
      </c>
    </row>
    <row r="1074" spans="7:11">
      <c r="G1074">
        <v>21</v>
      </c>
      <c r="H1074">
        <v>21</v>
      </c>
      <c r="I1074" s="2">
        <f>INT(DATE($B$3,1,1) + (21+0.5)*365/50)</f>
        <v>0</v>
      </c>
      <c r="J1074" s="2">
        <f>I1074 - INT(ROUND($B$4 * 30.4375, 0) * (21+0.5)/50)</f>
        <v>0</v>
      </c>
      <c r="K1074" s="4">
        <f>VLOOKUP(J1074, '1_Rate_Changes'!$A$2:$C$100, 3, TRUE)</f>
        <v>0</v>
      </c>
    </row>
    <row r="1075" spans="7:11">
      <c r="G1075">
        <v>21</v>
      </c>
      <c r="H1075">
        <v>22</v>
      </c>
      <c r="I1075" s="2">
        <f>INT(DATE($B$3,1,1) + (21+0.5)*365/50)</f>
        <v>0</v>
      </c>
      <c r="J1075" s="2">
        <f>I1075 - INT(ROUND($B$4 * 30.4375, 0) * (22+0.5)/50)</f>
        <v>0</v>
      </c>
      <c r="K1075" s="4">
        <f>VLOOKUP(J1075, '1_Rate_Changes'!$A$2:$C$100, 3, TRUE)</f>
        <v>0</v>
      </c>
    </row>
    <row r="1076" spans="7:11">
      <c r="G1076">
        <v>21</v>
      </c>
      <c r="H1076">
        <v>23</v>
      </c>
      <c r="I1076" s="2">
        <f>INT(DATE($B$3,1,1) + (21+0.5)*365/50)</f>
        <v>0</v>
      </c>
      <c r="J1076" s="2">
        <f>I1076 - INT(ROUND($B$4 * 30.4375, 0) * (23+0.5)/50)</f>
        <v>0</v>
      </c>
      <c r="K1076" s="4">
        <f>VLOOKUP(J1076, '1_Rate_Changes'!$A$2:$C$100, 3, TRUE)</f>
        <v>0</v>
      </c>
    </row>
    <row r="1077" spans="7:11">
      <c r="G1077">
        <v>21</v>
      </c>
      <c r="H1077">
        <v>24</v>
      </c>
      <c r="I1077" s="2">
        <f>INT(DATE($B$3,1,1) + (21+0.5)*365/50)</f>
        <v>0</v>
      </c>
      <c r="J1077" s="2">
        <f>I1077 - INT(ROUND($B$4 * 30.4375, 0) * (24+0.5)/50)</f>
        <v>0</v>
      </c>
      <c r="K1077" s="4">
        <f>VLOOKUP(J1077, '1_Rate_Changes'!$A$2:$C$100, 3, TRUE)</f>
        <v>0</v>
      </c>
    </row>
    <row r="1078" spans="7:11">
      <c r="G1078">
        <v>21</v>
      </c>
      <c r="H1078">
        <v>25</v>
      </c>
      <c r="I1078" s="2">
        <f>INT(DATE($B$3,1,1) + (21+0.5)*365/50)</f>
        <v>0</v>
      </c>
      <c r="J1078" s="2">
        <f>I1078 - INT(ROUND($B$4 * 30.4375, 0) * (25+0.5)/50)</f>
        <v>0</v>
      </c>
      <c r="K1078" s="4">
        <f>VLOOKUP(J1078, '1_Rate_Changes'!$A$2:$C$100, 3, TRUE)</f>
        <v>0</v>
      </c>
    </row>
    <row r="1079" spans="7:11">
      <c r="G1079">
        <v>21</v>
      </c>
      <c r="H1079">
        <v>26</v>
      </c>
      <c r="I1079" s="2">
        <f>INT(DATE($B$3,1,1) + (21+0.5)*365/50)</f>
        <v>0</v>
      </c>
      <c r="J1079" s="2">
        <f>I1079 - INT(ROUND($B$4 * 30.4375, 0) * (26+0.5)/50)</f>
        <v>0</v>
      </c>
      <c r="K1079" s="4">
        <f>VLOOKUP(J1079, '1_Rate_Changes'!$A$2:$C$100, 3, TRUE)</f>
        <v>0</v>
      </c>
    </row>
    <row r="1080" spans="7:11">
      <c r="G1080">
        <v>21</v>
      </c>
      <c r="H1080">
        <v>27</v>
      </c>
      <c r="I1080" s="2">
        <f>INT(DATE($B$3,1,1) + (21+0.5)*365/50)</f>
        <v>0</v>
      </c>
      <c r="J1080" s="2">
        <f>I1080 - INT(ROUND($B$4 * 30.4375, 0) * (27+0.5)/50)</f>
        <v>0</v>
      </c>
      <c r="K1080" s="4">
        <f>VLOOKUP(J1080, '1_Rate_Changes'!$A$2:$C$100, 3, TRUE)</f>
        <v>0</v>
      </c>
    </row>
    <row r="1081" spans="7:11">
      <c r="G1081">
        <v>21</v>
      </c>
      <c r="H1081">
        <v>28</v>
      </c>
      <c r="I1081" s="2">
        <f>INT(DATE($B$3,1,1) + (21+0.5)*365/50)</f>
        <v>0</v>
      </c>
      <c r="J1081" s="2">
        <f>I1081 - INT(ROUND($B$4 * 30.4375, 0) * (28+0.5)/50)</f>
        <v>0</v>
      </c>
      <c r="K1081" s="4">
        <f>VLOOKUP(J1081, '1_Rate_Changes'!$A$2:$C$100, 3, TRUE)</f>
        <v>0</v>
      </c>
    </row>
    <row r="1082" spans="7:11">
      <c r="G1082">
        <v>21</v>
      </c>
      <c r="H1082">
        <v>29</v>
      </c>
      <c r="I1082" s="2">
        <f>INT(DATE($B$3,1,1) + (21+0.5)*365/50)</f>
        <v>0</v>
      </c>
      <c r="J1082" s="2">
        <f>I1082 - INT(ROUND($B$4 * 30.4375, 0) * (29+0.5)/50)</f>
        <v>0</v>
      </c>
      <c r="K1082" s="4">
        <f>VLOOKUP(J1082, '1_Rate_Changes'!$A$2:$C$100, 3, TRUE)</f>
        <v>0</v>
      </c>
    </row>
    <row r="1083" spans="7:11">
      <c r="G1083">
        <v>21</v>
      </c>
      <c r="H1083">
        <v>30</v>
      </c>
      <c r="I1083" s="2">
        <f>INT(DATE($B$3,1,1) + (21+0.5)*365/50)</f>
        <v>0</v>
      </c>
      <c r="J1083" s="2">
        <f>I1083 - INT(ROUND($B$4 * 30.4375, 0) * (30+0.5)/50)</f>
        <v>0</v>
      </c>
      <c r="K1083" s="4">
        <f>VLOOKUP(J1083, '1_Rate_Changes'!$A$2:$C$100, 3, TRUE)</f>
        <v>0</v>
      </c>
    </row>
    <row r="1084" spans="7:11">
      <c r="G1084">
        <v>21</v>
      </c>
      <c r="H1084">
        <v>31</v>
      </c>
      <c r="I1084" s="2">
        <f>INT(DATE($B$3,1,1) + (21+0.5)*365/50)</f>
        <v>0</v>
      </c>
      <c r="J1084" s="2">
        <f>I1084 - INT(ROUND($B$4 * 30.4375, 0) * (31+0.5)/50)</f>
        <v>0</v>
      </c>
      <c r="K1084" s="4">
        <f>VLOOKUP(J1084, '1_Rate_Changes'!$A$2:$C$100, 3, TRUE)</f>
        <v>0</v>
      </c>
    </row>
    <row r="1085" spans="7:11">
      <c r="G1085">
        <v>21</v>
      </c>
      <c r="H1085">
        <v>32</v>
      </c>
      <c r="I1085" s="2">
        <f>INT(DATE($B$3,1,1) + (21+0.5)*365/50)</f>
        <v>0</v>
      </c>
      <c r="J1085" s="2">
        <f>I1085 - INT(ROUND($B$4 * 30.4375, 0) * (32+0.5)/50)</f>
        <v>0</v>
      </c>
      <c r="K1085" s="4">
        <f>VLOOKUP(J1085, '1_Rate_Changes'!$A$2:$C$100, 3, TRUE)</f>
        <v>0</v>
      </c>
    </row>
    <row r="1086" spans="7:11">
      <c r="G1086">
        <v>21</v>
      </c>
      <c r="H1086">
        <v>33</v>
      </c>
      <c r="I1086" s="2">
        <f>INT(DATE($B$3,1,1) + (21+0.5)*365/50)</f>
        <v>0</v>
      </c>
      <c r="J1086" s="2">
        <f>I1086 - INT(ROUND($B$4 * 30.4375, 0) * (33+0.5)/50)</f>
        <v>0</v>
      </c>
      <c r="K1086" s="4">
        <f>VLOOKUP(J1086, '1_Rate_Changes'!$A$2:$C$100, 3, TRUE)</f>
        <v>0</v>
      </c>
    </row>
    <row r="1087" spans="7:11">
      <c r="G1087">
        <v>21</v>
      </c>
      <c r="H1087">
        <v>34</v>
      </c>
      <c r="I1087" s="2">
        <f>INT(DATE($B$3,1,1) + (21+0.5)*365/50)</f>
        <v>0</v>
      </c>
      <c r="J1087" s="2">
        <f>I1087 - INT(ROUND($B$4 * 30.4375, 0) * (34+0.5)/50)</f>
        <v>0</v>
      </c>
      <c r="K1087" s="4">
        <f>VLOOKUP(J1087, '1_Rate_Changes'!$A$2:$C$100, 3, TRUE)</f>
        <v>0</v>
      </c>
    </row>
    <row r="1088" spans="7:11">
      <c r="G1088">
        <v>21</v>
      </c>
      <c r="H1088">
        <v>35</v>
      </c>
      <c r="I1088" s="2">
        <f>INT(DATE($B$3,1,1) + (21+0.5)*365/50)</f>
        <v>0</v>
      </c>
      <c r="J1088" s="2">
        <f>I1088 - INT(ROUND($B$4 * 30.4375, 0) * (35+0.5)/50)</f>
        <v>0</v>
      </c>
      <c r="K1088" s="4">
        <f>VLOOKUP(J1088, '1_Rate_Changes'!$A$2:$C$100, 3, TRUE)</f>
        <v>0</v>
      </c>
    </row>
    <row r="1089" spans="7:11">
      <c r="G1089">
        <v>21</v>
      </c>
      <c r="H1089">
        <v>36</v>
      </c>
      <c r="I1089" s="2">
        <f>INT(DATE($B$3,1,1) + (21+0.5)*365/50)</f>
        <v>0</v>
      </c>
      <c r="J1089" s="2">
        <f>I1089 - INT(ROUND($B$4 * 30.4375, 0) * (36+0.5)/50)</f>
        <v>0</v>
      </c>
      <c r="K1089" s="4">
        <f>VLOOKUP(J1089, '1_Rate_Changes'!$A$2:$C$100, 3, TRUE)</f>
        <v>0</v>
      </c>
    </row>
    <row r="1090" spans="7:11">
      <c r="G1090">
        <v>21</v>
      </c>
      <c r="H1090">
        <v>37</v>
      </c>
      <c r="I1090" s="2">
        <f>INT(DATE($B$3,1,1) + (21+0.5)*365/50)</f>
        <v>0</v>
      </c>
      <c r="J1090" s="2">
        <f>I1090 - INT(ROUND($B$4 * 30.4375, 0) * (37+0.5)/50)</f>
        <v>0</v>
      </c>
      <c r="K1090" s="4">
        <f>VLOOKUP(J1090, '1_Rate_Changes'!$A$2:$C$100, 3, TRUE)</f>
        <v>0</v>
      </c>
    </row>
    <row r="1091" spans="7:11">
      <c r="G1091">
        <v>21</v>
      </c>
      <c r="H1091">
        <v>38</v>
      </c>
      <c r="I1091" s="2">
        <f>INT(DATE($B$3,1,1) + (21+0.5)*365/50)</f>
        <v>0</v>
      </c>
      <c r="J1091" s="2">
        <f>I1091 - INT(ROUND($B$4 * 30.4375, 0) * (38+0.5)/50)</f>
        <v>0</v>
      </c>
      <c r="K1091" s="4">
        <f>VLOOKUP(J1091, '1_Rate_Changes'!$A$2:$C$100, 3, TRUE)</f>
        <v>0</v>
      </c>
    </row>
    <row r="1092" spans="7:11">
      <c r="G1092">
        <v>21</v>
      </c>
      <c r="H1092">
        <v>39</v>
      </c>
      <c r="I1092" s="2">
        <f>INT(DATE($B$3,1,1) + (21+0.5)*365/50)</f>
        <v>0</v>
      </c>
      <c r="J1092" s="2">
        <f>I1092 - INT(ROUND($B$4 * 30.4375, 0) * (39+0.5)/50)</f>
        <v>0</v>
      </c>
      <c r="K1092" s="4">
        <f>VLOOKUP(J1092, '1_Rate_Changes'!$A$2:$C$100, 3, TRUE)</f>
        <v>0</v>
      </c>
    </row>
    <row r="1093" spans="7:11">
      <c r="G1093">
        <v>21</v>
      </c>
      <c r="H1093">
        <v>40</v>
      </c>
      <c r="I1093" s="2">
        <f>INT(DATE($B$3,1,1) + (21+0.5)*365/50)</f>
        <v>0</v>
      </c>
      <c r="J1093" s="2">
        <f>I1093 - INT(ROUND($B$4 * 30.4375, 0) * (40+0.5)/50)</f>
        <v>0</v>
      </c>
      <c r="K1093" s="4">
        <f>VLOOKUP(J1093, '1_Rate_Changes'!$A$2:$C$100, 3, TRUE)</f>
        <v>0</v>
      </c>
    </row>
    <row r="1094" spans="7:11">
      <c r="G1094">
        <v>21</v>
      </c>
      <c r="H1094">
        <v>41</v>
      </c>
      <c r="I1094" s="2">
        <f>INT(DATE($B$3,1,1) + (21+0.5)*365/50)</f>
        <v>0</v>
      </c>
      <c r="J1094" s="2">
        <f>I1094 - INT(ROUND($B$4 * 30.4375, 0) * (41+0.5)/50)</f>
        <v>0</v>
      </c>
      <c r="K1094" s="4">
        <f>VLOOKUP(J1094, '1_Rate_Changes'!$A$2:$C$100, 3, TRUE)</f>
        <v>0</v>
      </c>
    </row>
    <row r="1095" spans="7:11">
      <c r="G1095">
        <v>21</v>
      </c>
      <c r="H1095">
        <v>42</v>
      </c>
      <c r="I1095" s="2">
        <f>INT(DATE($B$3,1,1) + (21+0.5)*365/50)</f>
        <v>0</v>
      </c>
      <c r="J1095" s="2">
        <f>I1095 - INT(ROUND($B$4 * 30.4375, 0) * (42+0.5)/50)</f>
        <v>0</v>
      </c>
      <c r="K1095" s="4">
        <f>VLOOKUP(J1095, '1_Rate_Changes'!$A$2:$C$100, 3, TRUE)</f>
        <v>0</v>
      </c>
    </row>
    <row r="1096" spans="7:11">
      <c r="G1096">
        <v>21</v>
      </c>
      <c r="H1096">
        <v>43</v>
      </c>
      <c r="I1096" s="2">
        <f>INT(DATE($B$3,1,1) + (21+0.5)*365/50)</f>
        <v>0</v>
      </c>
      <c r="J1096" s="2">
        <f>I1096 - INT(ROUND($B$4 * 30.4375, 0) * (43+0.5)/50)</f>
        <v>0</v>
      </c>
      <c r="K1096" s="4">
        <f>VLOOKUP(J1096, '1_Rate_Changes'!$A$2:$C$100, 3, TRUE)</f>
        <v>0</v>
      </c>
    </row>
    <row r="1097" spans="7:11">
      <c r="G1097">
        <v>21</v>
      </c>
      <c r="H1097">
        <v>44</v>
      </c>
      <c r="I1097" s="2">
        <f>INT(DATE($B$3,1,1) + (21+0.5)*365/50)</f>
        <v>0</v>
      </c>
      <c r="J1097" s="2">
        <f>I1097 - INT(ROUND($B$4 * 30.4375, 0) * (44+0.5)/50)</f>
        <v>0</v>
      </c>
      <c r="K1097" s="4">
        <f>VLOOKUP(J1097, '1_Rate_Changes'!$A$2:$C$100, 3, TRUE)</f>
        <v>0</v>
      </c>
    </row>
    <row r="1098" spans="7:11">
      <c r="G1098">
        <v>21</v>
      </c>
      <c r="H1098">
        <v>45</v>
      </c>
      <c r="I1098" s="2">
        <f>INT(DATE($B$3,1,1) + (21+0.5)*365/50)</f>
        <v>0</v>
      </c>
      <c r="J1098" s="2">
        <f>I1098 - INT(ROUND($B$4 * 30.4375, 0) * (45+0.5)/50)</f>
        <v>0</v>
      </c>
      <c r="K1098" s="4">
        <f>VLOOKUP(J1098, '1_Rate_Changes'!$A$2:$C$100, 3, TRUE)</f>
        <v>0</v>
      </c>
    </row>
    <row r="1099" spans="7:11">
      <c r="G1099">
        <v>21</v>
      </c>
      <c r="H1099">
        <v>46</v>
      </c>
      <c r="I1099" s="2">
        <f>INT(DATE($B$3,1,1) + (21+0.5)*365/50)</f>
        <v>0</v>
      </c>
      <c r="J1099" s="2">
        <f>I1099 - INT(ROUND($B$4 * 30.4375, 0) * (46+0.5)/50)</f>
        <v>0</v>
      </c>
      <c r="K1099" s="4">
        <f>VLOOKUP(J1099, '1_Rate_Changes'!$A$2:$C$100, 3, TRUE)</f>
        <v>0</v>
      </c>
    </row>
    <row r="1100" spans="7:11">
      <c r="G1100">
        <v>21</v>
      </c>
      <c r="H1100">
        <v>47</v>
      </c>
      <c r="I1100" s="2">
        <f>INT(DATE($B$3,1,1) + (21+0.5)*365/50)</f>
        <v>0</v>
      </c>
      <c r="J1100" s="2">
        <f>I1100 - INT(ROUND($B$4 * 30.4375, 0) * (47+0.5)/50)</f>
        <v>0</v>
      </c>
      <c r="K1100" s="4">
        <f>VLOOKUP(J1100, '1_Rate_Changes'!$A$2:$C$100, 3, TRUE)</f>
        <v>0</v>
      </c>
    </row>
    <row r="1101" spans="7:11">
      <c r="G1101">
        <v>21</v>
      </c>
      <c r="H1101">
        <v>48</v>
      </c>
      <c r="I1101" s="2">
        <f>INT(DATE($B$3,1,1) + (21+0.5)*365/50)</f>
        <v>0</v>
      </c>
      <c r="J1101" s="2">
        <f>I1101 - INT(ROUND($B$4 * 30.4375, 0) * (48+0.5)/50)</f>
        <v>0</v>
      </c>
      <c r="K1101" s="4">
        <f>VLOOKUP(J1101, '1_Rate_Changes'!$A$2:$C$100, 3, TRUE)</f>
        <v>0</v>
      </c>
    </row>
    <row r="1102" spans="7:11">
      <c r="G1102">
        <v>21</v>
      </c>
      <c r="H1102">
        <v>49</v>
      </c>
      <c r="I1102" s="2">
        <f>INT(DATE($B$3,1,1) + (21+0.5)*365/50)</f>
        <v>0</v>
      </c>
      <c r="J1102" s="2">
        <f>I1102 - INT(ROUND($B$4 * 30.4375, 0) * (49+0.5)/50)</f>
        <v>0</v>
      </c>
      <c r="K1102" s="4">
        <f>VLOOKUP(J1102, '1_Rate_Changes'!$A$2:$C$100, 3, TRUE)</f>
        <v>0</v>
      </c>
    </row>
    <row r="1103" spans="7:11">
      <c r="G1103">
        <v>22</v>
      </c>
      <c r="H1103">
        <v>0</v>
      </c>
      <c r="I1103" s="2">
        <f>INT(DATE($B$3,1,1) + (22+0.5)*365/50)</f>
        <v>0</v>
      </c>
      <c r="J1103" s="2">
        <f>I1103 - INT(ROUND($B$4 * 30.4375, 0) * (0+0.5)/50)</f>
        <v>0</v>
      </c>
      <c r="K1103" s="4">
        <f>VLOOKUP(J1103, '1_Rate_Changes'!$A$2:$C$100, 3, TRUE)</f>
        <v>0</v>
      </c>
    </row>
    <row r="1104" spans="7:11">
      <c r="G1104">
        <v>22</v>
      </c>
      <c r="H1104">
        <v>1</v>
      </c>
      <c r="I1104" s="2">
        <f>INT(DATE($B$3,1,1) + (22+0.5)*365/50)</f>
        <v>0</v>
      </c>
      <c r="J1104" s="2">
        <f>I1104 - INT(ROUND($B$4 * 30.4375, 0) * (1+0.5)/50)</f>
        <v>0</v>
      </c>
      <c r="K1104" s="4">
        <f>VLOOKUP(J1104, '1_Rate_Changes'!$A$2:$C$100, 3, TRUE)</f>
        <v>0</v>
      </c>
    </row>
    <row r="1105" spans="7:11">
      <c r="G1105">
        <v>22</v>
      </c>
      <c r="H1105">
        <v>2</v>
      </c>
      <c r="I1105" s="2">
        <f>INT(DATE($B$3,1,1) + (22+0.5)*365/50)</f>
        <v>0</v>
      </c>
      <c r="J1105" s="2">
        <f>I1105 - INT(ROUND($B$4 * 30.4375, 0) * (2+0.5)/50)</f>
        <v>0</v>
      </c>
      <c r="K1105" s="4">
        <f>VLOOKUP(J1105, '1_Rate_Changes'!$A$2:$C$100, 3, TRUE)</f>
        <v>0</v>
      </c>
    </row>
    <row r="1106" spans="7:11">
      <c r="G1106">
        <v>22</v>
      </c>
      <c r="H1106">
        <v>3</v>
      </c>
      <c r="I1106" s="2">
        <f>INT(DATE($B$3,1,1) + (22+0.5)*365/50)</f>
        <v>0</v>
      </c>
      <c r="J1106" s="2">
        <f>I1106 - INT(ROUND($B$4 * 30.4375, 0) * (3+0.5)/50)</f>
        <v>0</v>
      </c>
      <c r="K1106" s="4">
        <f>VLOOKUP(J1106, '1_Rate_Changes'!$A$2:$C$100, 3, TRUE)</f>
        <v>0</v>
      </c>
    </row>
    <row r="1107" spans="7:11">
      <c r="G1107">
        <v>22</v>
      </c>
      <c r="H1107">
        <v>4</v>
      </c>
      <c r="I1107" s="2">
        <f>INT(DATE($B$3,1,1) + (22+0.5)*365/50)</f>
        <v>0</v>
      </c>
      <c r="J1107" s="2">
        <f>I1107 - INT(ROUND($B$4 * 30.4375, 0) * (4+0.5)/50)</f>
        <v>0</v>
      </c>
      <c r="K1107" s="4">
        <f>VLOOKUP(J1107, '1_Rate_Changes'!$A$2:$C$100, 3, TRUE)</f>
        <v>0</v>
      </c>
    </row>
    <row r="1108" spans="7:11">
      <c r="G1108">
        <v>22</v>
      </c>
      <c r="H1108">
        <v>5</v>
      </c>
      <c r="I1108" s="2">
        <f>INT(DATE($B$3,1,1) + (22+0.5)*365/50)</f>
        <v>0</v>
      </c>
      <c r="J1108" s="2">
        <f>I1108 - INT(ROUND($B$4 * 30.4375, 0) * (5+0.5)/50)</f>
        <v>0</v>
      </c>
      <c r="K1108" s="4">
        <f>VLOOKUP(J1108, '1_Rate_Changes'!$A$2:$C$100, 3, TRUE)</f>
        <v>0</v>
      </c>
    </row>
    <row r="1109" spans="7:11">
      <c r="G1109">
        <v>22</v>
      </c>
      <c r="H1109">
        <v>6</v>
      </c>
      <c r="I1109" s="2">
        <f>INT(DATE($B$3,1,1) + (22+0.5)*365/50)</f>
        <v>0</v>
      </c>
      <c r="J1109" s="2">
        <f>I1109 - INT(ROUND($B$4 * 30.4375, 0) * (6+0.5)/50)</f>
        <v>0</v>
      </c>
      <c r="K1109" s="4">
        <f>VLOOKUP(J1109, '1_Rate_Changes'!$A$2:$C$100, 3, TRUE)</f>
        <v>0</v>
      </c>
    </row>
    <row r="1110" spans="7:11">
      <c r="G1110">
        <v>22</v>
      </c>
      <c r="H1110">
        <v>7</v>
      </c>
      <c r="I1110" s="2">
        <f>INT(DATE($B$3,1,1) + (22+0.5)*365/50)</f>
        <v>0</v>
      </c>
      <c r="J1110" s="2">
        <f>I1110 - INT(ROUND($B$4 * 30.4375, 0) * (7+0.5)/50)</f>
        <v>0</v>
      </c>
      <c r="K1110" s="4">
        <f>VLOOKUP(J1110, '1_Rate_Changes'!$A$2:$C$100, 3, TRUE)</f>
        <v>0</v>
      </c>
    </row>
    <row r="1111" spans="7:11">
      <c r="G1111">
        <v>22</v>
      </c>
      <c r="H1111">
        <v>8</v>
      </c>
      <c r="I1111" s="2">
        <f>INT(DATE($B$3,1,1) + (22+0.5)*365/50)</f>
        <v>0</v>
      </c>
      <c r="J1111" s="2">
        <f>I1111 - INT(ROUND($B$4 * 30.4375, 0) * (8+0.5)/50)</f>
        <v>0</v>
      </c>
      <c r="K1111" s="4">
        <f>VLOOKUP(J1111, '1_Rate_Changes'!$A$2:$C$100, 3, TRUE)</f>
        <v>0</v>
      </c>
    </row>
    <row r="1112" spans="7:11">
      <c r="G1112">
        <v>22</v>
      </c>
      <c r="H1112">
        <v>9</v>
      </c>
      <c r="I1112" s="2">
        <f>INT(DATE($B$3,1,1) + (22+0.5)*365/50)</f>
        <v>0</v>
      </c>
      <c r="J1112" s="2">
        <f>I1112 - INT(ROUND($B$4 * 30.4375, 0) * (9+0.5)/50)</f>
        <v>0</v>
      </c>
      <c r="K1112" s="4">
        <f>VLOOKUP(J1112, '1_Rate_Changes'!$A$2:$C$100, 3, TRUE)</f>
        <v>0</v>
      </c>
    </row>
    <row r="1113" spans="7:11">
      <c r="G1113">
        <v>22</v>
      </c>
      <c r="H1113">
        <v>10</v>
      </c>
      <c r="I1113" s="2">
        <f>INT(DATE($B$3,1,1) + (22+0.5)*365/50)</f>
        <v>0</v>
      </c>
      <c r="J1113" s="2">
        <f>I1113 - INT(ROUND($B$4 * 30.4375, 0) * (10+0.5)/50)</f>
        <v>0</v>
      </c>
      <c r="K1113" s="4">
        <f>VLOOKUP(J1113, '1_Rate_Changes'!$A$2:$C$100, 3, TRUE)</f>
        <v>0</v>
      </c>
    </row>
    <row r="1114" spans="7:11">
      <c r="G1114">
        <v>22</v>
      </c>
      <c r="H1114">
        <v>11</v>
      </c>
      <c r="I1114" s="2">
        <f>INT(DATE($B$3,1,1) + (22+0.5)*365/50)</f>
        <v>0</v>
      </c>
      <c r="J1114" s="2">
        <f>I1114 - INT(ROUND($B$4 * 30.4375, 0) * (11+0.5)/50)</f>
        <v>0</v>
      </c>
      <c r="K1114" s="4">
        <f>VLOOKUP(J1114, '1_Rate_Changes'!$A$2:$C$100, 3, TRUE)</f>
        <v>0</v>
      </c>
    </row>
    <row r="1115" spans="7:11">
      <c r="G1115">
        <v>22</v>
      </c>
      <c r="H1115">
        <v>12</v>
      </c>
      <c r="I1115" s="2">
        <f>INT(DATE($B$3,1,1) + (22+0.5)*365/50)</f>
        <v>0</v>
      </c>
      <c r="J1115" s="2">
        <f>I1115 - INT(ROUND($B$4 * 30.4375, 0) * (12+0.5)/50)</f>
        <v>0</v>
      </c>
      <c r="K1115" s="4">
        <f>VLOOKUP(J1115, '1_Rate_Changes'!$A$2:$C$100, 3, TRUE)</f>
        <v>0</v>
      </c>
    </row>
    <row r="1116" spans="7:11">
      <c r="G1116">
        <v>22</v>
      </c>
      <c r="H1116">
        <v>13</v>
      </c>
      <c r="I1116" s="2">
        <f>INT(DATE($B$3,1,1) + (22+0.5)*365/50)</f>
        <v>0</v>
      </c>
      <c r="J1116" s="2">
        <f>I1116 - INT(ROUND($B$4 * 30.4375, 0) * (13+0.5)/50)</f>
        <v>0</v>
      </c>
      <c r="K1116" s="4">
        <f>VLOOKUP(J1116, '1_Rate_Changes'!$A$2:$C$100, 3, TRUE)</f>
        <v>0</v>
      </c>
    </row>
    <row r="1117" spans="7:11">
      <c r="G1117">
        <v>22</v>
      </c>
      <c r="H1117">
        <v>14</v>
      </c>
      <c r="I1117" s="2">
        <f>INT(DATE($B$3,1,1) + (22+0.5)*365/50)</f>
        <v>0</v>
      </c>
      <c r="J1117" s="2">
        <f>I1117 - INT(ROUND($B$4 * 30.4375, 0) * (14+0.5)/50)</f>
        <v>0</v>
      </c>
      <c r="K1117" s="4">
        <f>VLOOKUP(J1117, '1_Rate_Changes'!$A$2:$C$100, 3, TRUE)</f>
        <v>0</v>
      </c>
    </row>
    <row r="1118" spans="7:11">
      <c r="G1118">
        <v>22</v>
      </c>
      <c r="H1118">
        <v>15</v>
      </c>
      <c r="I1118" s="2">
        <f>INT(DATE($B$3,1,1) + (22+0.5)*365/50)</f>
        <v>0</v>
      </c>
      <c r="J1118" s="2">
        <f>I1118 - INT(ROUND($B$4 * 30.4375, 0) * (15+0.5)/50)</f>
        <v>0</v>
      </c>
      <c r="K1118" s="4">
        <f>VLOOKUP(J1118, '1_Rate_Changes'!$A$2:$C$100, 3, TRUE)</f>
        <v>0</v>
      </c>
    </row>
    <row r="1119" spans="7:11">
      <c r="G1119">
        <v>22</v>
      </c>
      <c r="H1119">
        <v>16</v>
      </c>
      <c r="I1119" s="2">
        <f>INT(DATE($B$3,1,1) + (22+0.5)*365/50)</f>
        <v>0</v>
      </c>
      <c r="J1119" s="2">
        <f>I1119 - INT(ROUND($B$4 * 30.4375, 0) * (16+0.5)/50)</f>
        <v>0</v>
      </c>
      <c r="K1119" s="4">
        <f>VLOOKUP(J1119, '1_Rate_Changes'!$A$2:$C$100, 3, TRUE)</f>
        <v>0</v>
      </c>
    </row>
    <row r="1120" spans="7:11">
      <c r="G1120">
        <v>22</v>
      </c>
      <c r="H1120">
        <v>17</v>
      </c>
      <c r="I1120" s="2">
        <f>INT(DATE($B$3,1,1) + (22+0.5)*365/50)</f>
        <v>0</v>
      </c>
      <c r="J1120" s="2">
        <f>I1120 - INT(ROUND($B$4 * 30.4375, 0) * (17+0.5)/50)</f>
        <v>0</v>
      </c>
      <c r="K1120" s="4">
        <f>VLOOKUP(J1120, '1_Rate_Changes'!$A$2:$C$100, 3, TRUE)</f>
        <v>0</v>
      </c>
    </row>
    <row r="1121" spans="7:11">
      <c r="G1121">
        <v>22</v>
      </c>
      <c r="H1121">
        <v>18</v>
      </c>
      <c r="I1121" s="2">
        <f>INT(DATE($B$3,1,1) + (22+0.5)*365/50)</f>
        <v>0</v>
      </c>
      <c r="J1121" s="2">
        <f>I1121 - INT(ROUND($B$4 * 30.4375, 0) * (18+0.5)/50)</f>
        <v>0</v>
      </c>
      <c r="K1121" s="4">
        <f>VLOOKUP(J1121, '1_Rate_Changes'!$A$2:$C$100, 3, TRUE)</f>
        <v>0</v>
      </c>
    </row>
    <row r="1122" spans="7:11">
      <c r="G1122">
        <v>22</v>
      </c>
      <c r="H1122">
        <v>19</v>
      </c>
      <c r="I1122" s="2">
        <f>INT(DATE($B$3,1,1) + (22+0.5)*365/50)</f>
        <v>0</v>
      </c>
      <c r="J1122" s="2">
        <f>I1122 - INT(ROUND($B$4 * 30.4375, 0) * (19+0.5)/50)</f>
        <v>0</v>
      </c>
      <c r="K1122" s="4">
        <f>VLOOKUP(J1122, '1_Rate_Changes'!$A$2:$C$100, 3, TRUE)</f>
        <v>0</v>
      </c>
    </row>
    <row r="1123" spans="7:11">
      <c r="G1123">
        <v>22</v>
      </c>
      <c r="H1123">
        <v>20</v>
      </c>
      <c r="I1123" s="2">
        <f>INT(DATE($B$3,1,1) + (22+0.5)*365/50)</f>
        <v>0</v>
      </c>
      <c r="J1123" s="2">
        <f>I1123 - INT(ROUND($B$4 * 30.4375, 0) * (20+0.5)/50)</f>
        <v>0</v>
      </c>
      <c r="K1123" s="4">
        <f>VLOOKUP(J1123, '1_Rate_Changes'!$A$2:$C$100, 3, TRUE)</f>
        <v>0</v>
      </c>
    </row>
    <row r="1124" spans="7:11">
      <c r="G1124">
        <v>22</v>
      </c>
      <c r="H1124">
        <v>21</v>
      </c>
      <c r="I1124" s="2">
        <f>INT(DATE($B$3,1,1) + (22+0.5)*365/50)</f>
        <v>0</v>
      </c>
      <c r="J1124" s="2">
        <f>I1124 - INT(ROUND($B$4 * 30.4375, 0) * (21+0.5)/50)</f>
        <v>0</v>
      </c>
      <c r="K1124" s="4">
        <f>VLOOKUP(J1124, '1_Rate_Changes'!$A$2:$C$100, 3, TRUE)</f>
        <v>0</v>
      </c>
    </row>
    <row r="1125" spans="7:11">
      <c r="G1125">
        <v>22</v>
      </c>
      <c r="H1125">
        <v>22</v>
      </c>
      <c r="I1125" s="2">
        <f>INT(DATE($B$3,1,1) + (22+0.5)*365/50)</f>
        <v>0</v>
      </c>
      <c r="J1125" s="2">
        <f>I1125 - INT(ROUND($B$4 * 30.4375, 0) * (22+0.5)/50)</f>
        <v>0</v>
      </c>
      <c r="K1125" s="4">
        <f>VLOOKUP(J1125, '1_Rate_Changes'!$A$2:$C$100, 3, TRUE)</f>
        <v>0</v>
      </c>
    </row>
    <row r="1126" spans="7:11">
      <c r="G1126">
        <v>22</v>
      </c>
      <c r="H1126">
        <v>23</v>
      </c>
      <c r="I1126" s="2">
        <f>INT(DATE($B$3,1,1) + (22+0.5)*365/50)</f>
        <v>0</v>
      </c>
      <c r="J1126" s="2">
        <f>I1126 - INT(ROUND($B$4 * 30.4375, 0) * (23+0.5)/50)</f>
        <v>0</v>
      </c>
      <c r="K1126" s="4">
        <f>VLOOKUP(J1126, '1_Rate_Changes'!$A$2:$C$100, 3, TRUE)</f>
        <v>0</v>
      </c>
    </row>
    <row r="1127" spans="7:11">
      <c r="G1127">
        <v>22</v>
      </c>
      <c r="H1127">
        <v>24</v>
      </c>
      <c r="I1127" s="2">
        <f>INT(DATE($B$3,1,1) + (22+0.5)*365/50)</f>
        <v>0</v>
      </c>
      <c r="J1127" s="2">
        <f>I1127 - INT(ROUND($B$4 * 30.4375, 0) * (24+0.5)/50)</f>
        <v>0</v>
      </c>
      <c r="K1127" s="4">
        <f>VLOOKUP(J1127, '1_Rate_Changes'!$A$2:$C$100, 3, TRUE)</f>
        <v>0</v>
      </c>
    </row>
    <row r="1128" spans="7:11">
      <c r="G1128">
        <v>22</v>
      </c>
      <c r="H1128">
        <v>25</v>
      </c>
      <c r="I1128" s="2">
        <f>INT(DATE($B$3,1,1) + (22+0.5)*365/50)</f>
        <v>0</v>
      </c>
      <c r="J1128" s="2">
        <f>I1128 - INT(ROUND($B$4 * 30.4375, 0) * (25+0.5)/50)</f>
        <v>0</v>
      </c>
      <c r="K1128" s="4">
        <f>VLOOKUP(J1128, '1_Rate_Changes'!$A$2:$C$100, 3, TRUE)</f>
        <v>0</v>
      </c>
    </row>
    <row r="1129" spans="7:11">
      <c r="G1129">
        <v>22</v>
      </c>
      <c r="H1129">
        <v>26</v>
      </c>
      <c r="I1129" s="2">
        <f>INT(DATE($B$3,1,1) + (22+0.5)*365/50)</f>
        <v>0</v>
      </c>
      <c r="J1129" s="2">
        <f>I1129 - INT(ROUND($B$4 * 30.4375, 0) * (26+0.5)/50)</f>
        <v>0</v>
      </c>
      <c r="K1129" s="4">
        <f>VLOOKUP(J1129, '1_Rate_Changes'!$A$2:$C$100, 3, TRUE)</f>
        <v>0</v>
      </c>
    </row>
    <row r="1130" spans="7:11">
      <c r="G1130">
        <v>22</v>
      </c>
      <c r="H1130">
        <v>27</v>
      </c>
      <c r="I1130" s="2">
        <f>INT(DATE($B$3,1,1) + (22+0.5)*365/50)</f>
        <v>0</v>
      </c>
      <c r="J1130" s="2">
        <f>I1130 - INT(ROUND($B$4 * 30.4375, 0) * (27+0.5)/50)</f>
        <v>0</v>
      </c>
      <c r="K1130" s="4">
        <f>VLOOKUP(J1130, '1_Rate_Changes'!$A$2:$C$100, 3, TRUE)</f>
        <v>0</v>
      </c>
    </row>
    <row r="1131" spans="7:11">
      <c r="G1131">
        <v>22</v>
      </c>
      <c r="H1131">
        <v>28</v>
      </c>
      <c r="I1131" s="2">
        <f>INT(DATE($B$3,1,1) + (22+0.5)*365/50)</f>
        <v>0</v>
      </c>
      <c r="J1131" s="2">
        <f>I1131 - INT(ROUND($B$4 * 30.4375, 0) * (28+0.5)/50)</f>
        <v>0</v>
      </c>
      <c r="K1131" s="4">
        <f>VLOOKUP(J1131, '1_Rate_Changes'!$A$2:$C$100, 3, TRUE)</f>
        <v>0</v>
      </c>
    </row>
    <row r="1132" spans="7:11">
      <c r="G1132">
        <v>22</v>
      </c>
      <c r="H1132">
        <v>29</v>
      </c>
      <c r="I1132" s="2">
        <f>INT(DATE($B$3,1,1) + (22+0.5)*365/50)</f>
        <v>0</v>
      </c>
      <c r="J1132" s="2">
        <f>I1132 - INT(ROUND($B$4 * 30.4375, 0) * (29+0.5)/50)</f>
        <v>0</v>
      </c>
      <c r="K1132" s="4">
        <f>VLOOKUP(J1132, '1_Rate_Changes'!$A$2:$C$100, 3, TRUE)</f>
        <v>0</v>
      </c>
    </row>
    <row r="1133" spans="7:11">
      <c r="G1133">
        <v>22</v>
      </c>
      <c r="H1133">
        <v>30</v>
      </c>
      <c r="I1133" s="2">
        <f>INT(DATE($B$3,1,1) + (22+0.5)*365/50)</f>
        <v>0</v>
      </c>
      <c r="J1133" s="2">
        <f>I1133 - INT(ROUND($B$4 * 30.4375, 0) * (30+0.5)/50)</f>
        <v>0</v>
      </c>
      <c r="K1133" s="4">
        <f>VLOOKUP(J1133, '1_Rate_Changes'!$A$2:$C$100, 3, TRUE)</f>
        <v>0</v>
      </c>
    </row>
    <row r="1134" spans="7:11">
      <c r="G1134">
        <v>22</v>
      </c>
      <c r="H1134">
        <v>31</v>
      </c>
      <c r="I1134" s="2">
        <f>INT(DATE($B$3,1,1) + (22+0.5)*365/50)</f>
        <v>0</v>
      </c>
      <c r="J1134" s="2">
        <f>I1134 - INT(ROUND($B$4 * 30.4375, 0) * (31+0.5)/50)</f>
        <v>0</v>
      </c>
      <c r="K1134" s="4">
        <f>VLOOKUP(J1134, '1_Rate_Changes'!$A$2:$C$100, 3, TRUE)</f>
        <v>0</v>
      </c>
    </row>
    <row r="1135" spans="7:11">
      <c r="G1135">
        <v>22</v>
      </c>
      <c r="H1135">
        <v>32</v>
      </c>
      <c r="I1135" s="2">
        <f>INT(DATE($B$3,1,1) + (22+0.5)*365/50)</f>
        <v>0</v>
      </c>
      <c r="J1135" s="2">
        <f>I1135 - INT(ROUND($B$4 * 30.4375, 0) * (32+0.5)/50)</f>
        <v>0</v>
      </c>
      <c r="K1135" s="4">
        <f>VLOOKUP(J1135, '1_Rate_Changes'!$A$2:$C$100, 3, TRUE)</f>
        <v>0</v>
      </c>
    </row>
    <row r="1136" spans="7:11">
      <c r="G1136">
        <v>22</v>
      </c>
      <c r="H1136">
        <v>33</v>
      </c>
      <c r="I1136" s="2">
        <f>INT(DATE($B$3,1,1) + (22+0.5)*365/50)</f>
        <v>0</v>
      </c>
      <c r="J1136" s="2">
        <f>I1136 - INT(ROUND($B$4 * 30.4375, 0) * (33+0.5)/50)</f>
        <v>0</v>
      </c>
      <c r="K1136" s="4">
        <f>VLOOKUP(J1136, '1_Rate_Changes'!$A$2:$C$100, 3, TRUE)</f>
        <v>0</v>
      </c>
    </row>
    <row r="1137" spans="7:11">
      <c r="G1137">
        <v>22</v>
      </c>
      <c r="H1137">
        <v>34</v>
      </c>
      <c r="I1137" s="2">
        <f>INT(DATE($B$3,1,1) + (22+0.5)*365/50)</f>
        <v>0</v>
      </c>
      <c r="J1137" s="2">
        <f>I1137 - INT(ROUND($B$4 * 30.4375, 0) * (34+0.5)/50)</f>
        <v>0</v>
      </c>
      <c r="K1137" s="4">
        <f>VLOOKUP(J1137, '1_Rate_Changes'!$A$2:$C$100, 3, TRUE)</f>
        <v>0</v>
      </c>
    </row>
    <row r="1138" spans="7:11">
      <c r="G1138">
        <v>22</v>
      </c>
      <c r="H1138">
        <v>35</v>
      </c>
      <c r="I1138" s="2">
        <f>INT(DATE($B$3,1,1) + (22+0.5)*365/50)</f>
        <v>0</v>
      </c>
      <c r="J1138" s="2">
        <f>I1138 - INT(ROUND($B$4 * 30.4375, 0) * (35+0.5)/50)</f>
        <v>0</v>
      </c>
      <c r="K1138" s="4">
        <f>VLOOKUP(J1138, '1_Rate_Changes'!$A$2:$C$100, 3, TRUE)</f>
        <v>0</v>
      </c>
    </row>
    <row r="1139" spans="7:11">
      <c r="G1139">
        <v>22</v>
      </c>
      <c r="H1139">
        <v>36</v>
      </c>
      <c r="I1139" s="2">
        <f>INT(DATE($B$3,1,1) + (22+0.5)*365/50)</f>
        <v>0</v>
      </c>
      <c r="J1139" s="2">
        <f>I1139 - INT(ROUND($B$4 * 30.4375, 0) * (36+0.5)/50)</f>
        <v>0</v>
      </c>
      <c r="K1139" s="4">
        <f>VLOOKUP(J1139, '1_Rate_Changes'!$A$2:$C$100, 3, TRUE)</f>
        <v>0</v>
      </c>
    </row>
    <row r="1140" spans="7:11">
      <c r="G1140">
        <v>22</v>
      </c>
      <c r="H1140">
        <v>37</v>
      </c>
      <c r="I1140" s="2">
        <f>INT(DATE($B$3,1,1) + (22+0.5)*365/50)</f>
        <v>0</v>
      </c>
      <c r="J1140" s="2">
        <f>I1140 - INT(ROUND($B$4 * 30.4375, 0) * (37+0.5)/50)</f>
        <v>0</v>
      </c>
      <c r="K1140" s="4">
        <f>VLOOKUP(J1140, '1_Rate_Changes'!$A$2:$C$100, 3, TRUE)</f>
        <v>0</v>
      </c>
    </row>
    <row r="1141" spans="7:11">
      <c r="G1141">
        <v>22</v>
      </c>
      <c r="H1141">
        <v>38</v>
      </c>
      <c r="I1141" s="2">
        <f>INT(DATE($B$3,1,1) + (22+0.5)*365/50)</f>
        <v>0</v>
      </c>
      <c r="J1141" s="2">
        <f>I1141 - INT(ROUND($B$4 * 30.4375, 0) * (38+0.5)/50)</f>
        <v>0</v>
      </c>
      <c r="K1141" s="4">
        <f>VLOOKUP(J1141, '1_Rate_Changes'!$A$2:$C$100, 3, TRUE)</f>
        <v>0</v>
      </c>
    </row>
    <row r="1142" spans="7:11">
      <c r="G1142">
        <v>22</v>
      </c>
      <c r="H1142">
        <v>39</v>
      </c>
      <c r="I1142" s="2">
        <f>INT(DATE($B$3,1,1) + (22+0.5)*365/50)</f>
        <v>0</v>
      </c>
      <c r="J1142" s="2">
        <f>I1142 - INT(ROUND($B$4 * 30.4375, 0) * (39+0.5)/50)</f>
        <v>0</v>
      </c>
      <c r="K1142" s="4">
        <f>VLOOKUP(J1142, '1_Rate_Changes'!$A$2:$C$100, 3, TRUE)</f>
        <v>0</v>
      </c>
    </row>
    <row r="1143" spans="7:11">
      <c r="G1143">
        <v>22</v>
      </c>
      <c r="H1143">
        <v>40</v>
      </c>
      <c r="I1143" s="2">
        <f>INT(DATE($B$3,1,1) + (22+0.5)*365/50)</f>
        <v>0</v>
      </c>
      <c r="J1143" s="2">
        <f>I1143 - INT(ROUND($B$4 * 30.4375, 0) * (40+0.5)/50)</f>
        <v>0</v>
      </c>
      <c r="K1143" s="4">
        <f>VLOOKUP(J1143, '1_Rate_Changes'!$A$2:$C$100, 3, TRUE)</f>
        <v>0</v>
      </c>
    </row>
    <row r="1144" spans="7:11">
      <c r="G1144">
        <v>22</v>
      </c>
      <c r="H1144">
        <v>41</v>
      </c>
      <c r="I1144" s="2">
        <f>INT(DATE($B$3,1,1) + (22+0.5)*365/50)</f>
        <v>0</v>
      </c>
      <c r="J1144" s="2">
        <f>I1144 - INT(ROUND($B$4 * 30.4375, 0) * (41+0.5)/50)</f>
        <v>0</v>
      </c>
      <c r="K1144" s="4">
        <f>VLOOKUP(J1144, '1_Rate_Changes'!$A$2:$C$100, 3, TRUE)</f>
        <v>0</v>
      </c>
    </row>
    <row r="1145" spans="7:11">
      <c r="G1145">
        <v>22</v>
      </c>
      <c r="H1145">
        <v>42</v>
      </c>
      <c r="I1145" s="2">
        <f>INT(DATE($B$3,1,1) + (22+0.5)*365/50)</f>
        <v>0</v>
      </c>
      <c r="J1145" s="2">
        <f>I1145 - INT(ROUND($B$4 * 30.4375, 0) * (42+0.5)/50)</f>
        <v>0</v>
      </c>
      <c r="K1145" s="4">
        <f>VLOOKUP(J1145, '1_Rate_Changes'!$A$2:$C$100, 3, TRUE)</f>
        <v>0</v>
      </c>
    </row>
    <row r="1146" spans="7:11">
      <c r="G1146">
        <v>22</v>
      </c>
      <c r="H1146">
        <v>43</v>
      </c>
      <c r="I1146" s="2">
        <f>INT(DATE($B$3,1,1) + (22+0.5)*365/50)</f>
        <v>0</v>
      </c>
      <c r="J1146" s="2">
        <f>I1146 - INT(ROUND($B$4 * 30.4375, 0) * (43+0.5)/50)</f>
        <v>0</v>
      </c>
      <c r="K1146" s="4">
        <f>VLOOKUP(J1146, '1_Rate_Changes'!$A$2:$C$100, 3, TRUE)</f>
        <v>0</v>
      </c>
    </row>
    <row r="1147" spans="7:11">
      <c r="G1147">
        <v>22</v>
      </c>
      <c r="H1147">
        <v>44</v>
      </c>
      <c r="I1147" s="2">
        <f>INT(DATE($B$3,1,1) + (22+0.5)*365/50)</f>
        <v>0</v>
      </c>
      <c r="J1147" s="2">
        <f>I1147 - INT(ROUND($B$4 * 30.4375, 0) * (44+0.5)/50)</f>
        <v>0</v>
      </c>
      <c r="K1147" s="4">
        <f>VLOOKUP(J1147, '1_Rate_Changes'!$A$2:$C$100, 3, TRUE)</f>
        <v>0</v>
      </c>
    </row>
    <row r="1148" spans="7:11">
      <c r="G1148">
        <v>22</v>
      </c>
      <c r="H1148">
        <v>45</v>
      </c>
      <c r="I1148" s="2">
        <f>INT(DATE($B$3,1,1) + (22+0.5)*365/50)</f>
        <v>0</v>
      </c>
      <c r="J1148" s="2">
        <f>I1148 - INT(ROUND($B$4 * 30.4375, 0) * (45+0.5)/50)</f>
        <v>0</v>
      </c>
      <c r="K1148" s="4">
        <f>VLOOKUP(J1148, '1_Rate_Changes'!$A$2:$C$100, 3, TRUE)</f>
        <v>0</v>
      </c>
    </row>
    <row r="1149" spans="7:11">
      <c r="G1149">
        <v>22</v>
      </c>
      <c r="H1149">
        <v>46</v>
      </c>
      <c r="I1149" s="2">
        <f>INT(DATE($B$3,1,1) + (22+0.5)*365/50)</f>
        <v>0</v>
      </c>
      <c r="J1149" s="2">
        <f>I1149 - INT(ROUND($B$4 * 30.4375, 0) * (46+0.5)/50)</f>
        <v>0</v>
      </c>
      <c r="K1149" s="4">
        <f>VLOOKUP(J1149, '1_Rate_Changes'!$A$2:$C$100, 3, TRUE)</f>
        <v>0</v>
      </c>
    </row>
    <row r="1150" spans="7:11">
      <c r="G1150">
        <v>22</v>
      </c>
      <c r="H1150">
        <v>47</v>
      </c>
      <c r="I1150" s="2">
        <f>INT(DATE($B$3,1,1) + (22+0.5)*365/50)</f>
        <v>0</v>
      </c>
      <c r="J1150" s="2">
        <f>I1150 - INT(ROUND($B$4 * 30.4375, 0) * (47+0.5)/50)</f>
        <v>0</v>
      </c>
      <c r="K1150" s="4">
        <f>VLOOKUP(J1150, '1_Rate_Changes'!$A$2:$C$100, 3, TRUE)</f>
        <v>0</v>
      </c>
    </row>
    <row r="1151" spans="7:11">
      <c r="G1151">
        <v>22</v>
      </c>
      <c r="H1151">
        <v>48</v>
      </c>
      <c r="I1151" s="2">
        <f>INT(DATE($B$3,1,1) + (22+0.5)*365/50)</f>
        <v>0</v>
      </c>
      <c r="J1151" s="2">
        <f>I1151 - INT(ROUND($B$4 * 30.4375, 0) * (48+0.5)/50)</f>
        <v>0</v>
      </c>
      <c r="K1151" s="4">
        <f>VLOOKUP(J1151, '1_Rate_Changes'!$A$2:$C$100, 3, TRUE)</f>
        <v>0</v>
      </c>
    </row>
    <row r="1152" spans="7:11">
      <c r="G1152">
        <v>22</v>
      </c>
      <c r="H1152">
        <v>49</v>
      </c>
      <c r="I1152" s="2">
        <f>INT(DATE($B$3,1,1) + (22+0.5)*365/50)</f>
        <v>0</v>
      </c>
      <c r="J1152" s="2">
        <f>I1152 - INT(ROUND($B$4 * 30.4375, 0) * (49+0.5)/50)</f>
        <v>0</v>
      </c>
      <c r="K1152" s="4">
        <f>VLOOKUP(J1152, '1_Rate_Changes'!$A$2:$C$100, 3, TRUE)</f>
        <v>0</v>
      </c>
    </row>
    <row r="1153" spans="7:11">
      <c r="G1153">
        <v>23</v>
      </c>
      <c r="H1153">
        <v>0</v>
      </c>
      <c r="I1153" s="2">
        <f>INT(DATE($B$3,1,1) + (23+0.5)*365/50)</f>
        <v>0</v>
      </c>
      <c r="J1153" s="2">
        <f>I1153 - INT(ROUND($B$4 * 30.4375, 0) * (0+0.5)/50)</f>
        <v>0</v>
      </c>
      <c r="K1153" s="4">
        <f>VLOOKUP(J1153, '1_Rate_Changes'!$A$2:$C$100, 3, TRUE)</f>
        <v>0</v>
      </c>
    </row>
    <row r="1154" spans="7:11">
      <c r="G1154">
        <v>23</v>
      </c>
      <c r="H1154">
        <v>1</v>
      </c>
      <c r="I1154" s="2">
        <f>INT(DATE($B$3,1,1) + (23+0.5)*365/50)</f>
        <v>0</v>
      </c>
      <c r="J1154" s="2">
        <f>I1154 - INT(ROUND($B$4 * 30.4375, 0) * (1+0.5)/50)</f>
        <v>0</v>
      </c>
      <c r="K1154" s="4">
        <f>VLOOKUP(J1154, '1_Rate_Changes'!$A$2:$C$100, 3, TRUE)</f>
        <v>0</v>
      </c>
    </row>
    <row r="1155" spans="7:11">
      <c r="G1155">
        <v>23</v>
      </c>
      <c r="H1155">
        <v>2</v>
      </c>
      <c r="I1155" s="2">
        <f>INT(DATE($B$3,1,1) + (23+0.5)*365/50)</f>
        <v>0</v>
      </c>
      <c r="J1155" s="2">
        <f>I1155 - INT(ROUND($B$4 * 30.4375, 0) * (2+0.5)/50)</f>
        <v>0</v>
      </c>
      <c r="K1155" s="4">
        <f>VLOOKUP(J1155, '1_Rate_Changes'!$A$2:$C$100, 3, TRUE)</f>
        <v>0</v>
      </c>
    </row>
    <row r="1156" spans="7:11">
      <c r="G1156">
        <v>23</v>
      </c>
      <c r="H1156">
        <v>3</v>
      </c>
      <c r="I1156" s="2">
        <f>INT(DATE($B$3,1,1) + (23+0.5)*365/50)</f>
        <v>0</v>
      </c>
      <c r="J1156" s="2">
        <f>I1156 - INT(ROUND($B$4 * 30.4375, 0) * (3+0.5)/50)</f>
        <v>0</v>
      </c>
      <c r="K1156" s="4">
        <f>VLOOKUP(J1156, '1_Rate_Changes'!$A$2:$C$100, 3, TRUE)</f>
        <v>0</v>
      </c>
    </row>
    <row r="1157" spans="7:11">
      <c r="G1157">
        <v>23</v>
      </c>
      <c r="H1157">
        <v>4</v>
      </c>
      <c r="I1157" s="2">
        <f>INT(DATE($B$3,1,1) + (23+0.5)*365/50)</f>
        <v>0</v>
      </c>
      <c r="J1157" s="2">
        <f>I1157 - INT(ROUND($B$4 * 30.4375, 0) * (4+0.5)/50)</f>
        <v>0</v>
      </c>
      <c r="K1157" s="4">
        <f>VLOOKUP(J1157, '1_Rate_Changes'!$A$2:$C$100, 3, TRUE)</f>
        <v>0</v>
      </c>
    </row>
    <row r="1158" spans="7:11">
      <c r="G1158">
        <v>23</v>
      </c>
      <c r="H1158">
        <v>5</v>
      </c>
      <c r="I1158" s="2">
        <f>INT(DATE($B$3,1,1) + (23+0.5)*365/50)</f>
        <v>0</v>
      </c>
      <c r="J1158" s="2">
        <f>I1158 - INT(ROUND($B$4 * 30.4375, 0) * (5+0.5)/50)</f>
        <v>0</v>
      </c>
      <c r="K1158" s="4">
        <f>VLOOKUP(J1158, '1_Rate_Changes'!$A$2:$C$100, 3, TRUE)</f>
        <v>0</v>
      </c>
    </row>
    <row r="1159" spans="7:11">
      <c r="G1159">
        <v>23</v>
      </c>
      <c r="H1159">
        <v>6</v>
      </c>
      <c r="I1159" s="2">
        <f>INT(DATE($B$3,1,1) + (23+0.5)*365/50)</f>
        <v>0</v>
      </c>
      <c r="J1159" s="2">
        <f>I1159 - INT(ROUND($B$4 * 30.4375, 0) * (6+0.5)/50)</f>
        <v>0</v>
      </c>
      <c r="K1159" s="4">
        <f>VLOOKUP(J1159, '1_Rate_Changes'!$A$2:$C$100, 3, TRUE)</f>
        <v>0</v>
      </c>
    </row>
    <row r="1160" spans="7:11">
      <c r="G1160">
        <v>23</v>
      </c>
      <c r="H1160">
        <v>7</v>
      </c>
      <c r="I1160" s="2">
        <f>INT(DATE($B$3,1,1) + (23+0.5)*365/50)</f>
        <v>0</v>
      </c>
      <c r="J1160" s="2">
        <f>I1160 - INT(ROUND($B$4 * 30.4375, 0) * (7+0.5)/50)</f>
        <v>0</v>
      </c>
      <c r="K1160" s="4">
        <f>VLOOKUP(J1160, '1_Rate_Changes'!$A$2:$C$100, 3, TRUE)</f>
        <v>0</v>
      </c>
    </row>
    <row r="1161" spans="7:11">
      <c r="G1161">
        <v>23</v>
      </c>
      <c r="H1161">
        <v>8</v>
      </c>
      <c r="I1161" s="2">
        <f>INT(DATE($B$3,1,1) + (23+0.5)*365/50)</f>
        <v>0</v>
      </c>
      <c r="J1161" s="2">
        <f>I1161 - INT(ROUND($B$4 * 30.4375, 0) * (8+0.5)/50)</f>
        <v>0</v>
      </c>
      <c r="K1161" s="4">
        <f>VLOOKUP(J1161, '1_Rate_Changes'!$A$2:$C$100, 3, TRUE)</f>
        <v>0</v>
      </c>
    </row>
    <row r="1162" spans="7:11">
      <c r="G1162">
        <v>23</v>
      </c>
      <c r="H1162">
        <v>9</v>
      </c>
      <c r="I1162" s="2">
        <f>INT(DATE($B$3,1,1) + (23+0.5)*365/50)</f>
        <v>0</v>
      </c>
      <c r="J1162" s="2">
        <f>I1162 - INT(ROUND($B$4 * 30.4375, 0) * (9+0.5)/50)</f>
        <v>0</v>
      </c>
      <c r="K1162" s="4">
        <f>VLOOKUP(J1162, '1_Rate_Changes'!$A$2:$C$100, 3, TRUE)</f>
        <v>0</v>
      </c>
    </row>
    <row r="1163" spans="7:11">
      <c r="G1163">
        <v>23</v>
      </c>
      <c r="H1163">
        <v>10</v>
      </c>
      <c r="I1163" s="2">
        <f>INT(DATE($B$3,1,1) + (23+0.5)*365/50)</f>
        <v>0</v>
      </c>
      <c r="J1163" s="2">
        <f>I1163 - INT(ROUND($B$4 * 30.4375, 0) * (10+0.5)/50)</f>
        <v>0</v>
      </c>
      <c r="K1163" s="4">
        <f>VLOOKUP(J1163, '1_Rate_Changes'!$A$2:$C$100, 3, TRUE)</f>
        <v>0</v>
      </c>
    </row>
    <row r="1164" spans="7:11">
      <c r="G1164">
        <v>23</v>
      </c>
      <c r="H1164">
        <v>11</v>
      </c>
      <c r="I1164" s="2">
        <f>INT(DATE($B$3,1,1) + (23+0.5)*365/50)</f>
        <v>0</v>
      </c>
      <c r="J1164" s="2">
        <f>I1164 - INT(ROUND($B$4 * 30.4375, 0) * (11+0.5)/50)</f>
        <v>0</v>
      </c>
      <c r="K1164" s="4">
        <f>VLOOKUP(J1164, '1_Rate_Changes'!$A$2:$C$100, 3, TRUE)</f>
        <v>0</v>
      </c>
    </row>
    <row r="1165" spans="7:11">
      <c r="G1165">
        <v>23</v>
      </c>
      <c r="H1165">
        <v>12</v>
      </c>
      <c r="I1165" s="2">
        <f>INT(DATE($B$3,1,1) + (23+0.5)*365/50)</f>
        <v>0</v>
      </c>
      <c r="J1165" s="2">
        <f>I1165 - INT(ROUND($B$4 * 30.4375, 0) * (12+0.5)/50)</f>
        <v>0</v>
      </c>
      <c r="K1165" s="4">
        <f>VLOOKUP(J1165, '1_Rate_Changes'!$A$2:$C$100, 3, TRUE)</f>
        <v>0</v>
      </c>
    </row>
    <row r="1166" spans="7:11">
      <c r="G1166">
        <v>23</v>
      </c>
      <c r="H1166">
        <v>13</v>
      </c>
      <c r="I1166" s="2">
        <f>INT(DATE($B$3,1,1) + (23+0.5)*365/50)</f>
        <v>0</v>
      </c>
      <c r="J1166" s="2">
        <f>I1166 - INT(ROUND($B$4 * 30.4375, 0) * (13+0.5)/50)</f>
        <v>0</v>
      </c>
      <c r="K1166" s="4">
        <f>VLOOKUP(J1166, '1_Rate_Changes'!$A$2:$C$100, 3, TRUE)</f>
        <v>0</v>
      </c>
    </row>
    <row r="1167" spans="7:11">
      <c r="G1167">
        <v>23</v>
      </c>
      <c r="H1167">
        <v>14</v>
      </c>
      <c r="I1167" s="2">
        <f>INT(DATE($B$3,1,1) + (23+0.5)*365/50)</f>
        <v>0</v>
      </c>
      <c r="J1167" s="2">
        <f>I1167 - INT(ROUND($B$4 * 30.4375, 0) * (14+0.5)/50)</f>
        <v>0</v>
      </c>
      <c r="K1167" s="4">
        <f>VLOOKUP(J1167, '1_Rate_Changes'!$A$2:$C$100, 3, TRUE)</f>
        <v>0</v>
      </c>
    </row>
    <row r="1168" spans="7:11">
      <c r="G1168">
        <v>23</v>
      </c>
      <c r="H1168">
        <v>15</v>
      </c>
      <c r="I1168" s="2">
        <f>INT(DATE($B$3,1,1) + (23+0.5)*365/50)</f>
        <v>0</v>
      </c>
      <c r="J1168" s="2">
        <f>I1168 - INT(ROUND($B$4 * 30.4375, 0) * (15+0.5)/50)</f>
        <v>0</v>
      </c>
      <c r="K1168" s="4">
        <f>VLOOKUP(J1168, '1_Rate_Changes'!$A$2:$C$100, 3, TRUE)</f>
        <v>0</v>
      </c>
    </row>
    <row r="1169" spans="7:11">
      <c r="G1169">
        <v>23</v>
      </c>
      <c r="H1169">
        <v>16</v>
      </c>
      <c r="I1169" s="2">
        <f>INT(DATE($B$3,1,1) + (23+0.5)*365/50)</f>
        <v>0</v>
      </c>
      <c r="J1169" s="2">
        <f>I1169 - INT(ROUND($B$4 * 30.4375, 0) * (16+0.5)/50)</f>
        <v>0</v>
      </c>
      <c r="K1169" s="4">
        <f>VLOOKUP(J1169, '1_Rate_Changes'!$A$2:$C$100, 3, TRUE)</f>
        <v>0</v>
      </c>
    </row>
    <row r="1170" spans="7:11">
      <c r="G1170">
        <v>23</v>
      </c>
      <c r="H1170">
        <v>17</v>
      </c>
      <c r="I1170" s="2">
        <f>INT(DATE($B$3,1,1) + (23+0.5)*365/50)</f>
        <v>0</v>
      </c>
      <c r="J1170" s="2">
        <f>I1170 - INT(ROUND($B$4 * 30.4375, 0) * (17+0.5)/50)</f>
        <v>0</v>
      </c>
      <c r="K1170" s="4">
        <f>VLOOKUP(J1170, '1_Rate_Changes'!$A$2:$C$100, 3, TRUE)</f>
        <v>0</v>
      </c>
    </row>
    <row r="1171" spans="7:11">
      <c r="G1171">
        <v>23</v>
      </c>
      <c r="H1171">
        <v>18</v>
      </c>
      <c r="I1171" s="2">
        <f>INT(DATE($B$3,1,1) + (23+0.5)*365/50)</f>
        <v>0</v>
      </c>
      <c r="J1171" s="2">
        <f>I1171 - INT(ROUND($B$4 * 30.4375, 0) * (18+0.5)/50)</f>
        <v>0</v>
      </c>
      <c r="K1171" s="4">
        <f>VLOOKUP(J1171, '1_Rate_Changes'!$A$2:$C$100, 3, TRUE)</f>
        <v>0</v>
      </c>
    </row>
    <row r="1172" spans="7:11">
      <c r="G1172">
        <v>23</v>
      </c>
      <c r="H1172">
        <v>19</v>
      </c>
      <c r="I1172" s="2">
        <f>INT(DATE($B$3,1,1) + (23+0.5)*365/50)</f>
        <v>0</v>
      </c>
      <c r="J1172" s="2">
        <f>I1172 - INT(ROUND($B$4 * 30.4375, 0) * (19+0.5)/50)</f>
        <v>0</v>
      </c>
      <c r="K1172" s="4">
        <f>VLOOKUP(J1172, '1_Rate_Changes'!$A$2:$C$100, 3, TRUE)</f>
        <v>0</v>
      </c>
    </row>
    <row r="1173" spans="7:11">
      <c r="G1173">
        <v>23</v>
      </c>
      <c r="H1173">
        <v>20</v>
      </c>
      <c r="I1173" s="2">
        <f>INT(DATE($B$3,1,1) + (23+0.5)*365/50)</f>
        <v>0</v>
      </c>
      <c r="J1173" s="2">
        <f>I1173 - INT(ROUND($B$4 * 30.4375, 0) * (20+0.5)/50)</f>
        <v>0</v>
      </c>
      <c r="K1173" s="4">
        <f>VLOOKUP(J1173, '1_Rate_Changes'!$A$2:$C$100, 3, TRUE)</f>
        <v>0</v>
      </c>
    </row>
    <row r="1174" spans="7:11">
      <c r="G1174">
        <v>23</v>
      </c>
      <c r="H1174">
        <v>21</v>
      </c>
      <c r="I1174" s="2">
        <f>INT(DATE($B$3,1,1) + (23+0.5)*365/50)</f>
        <v>0</v>
      </c>
      <c r="J1174" s="2">
        <f>I1174 - INT(ROUND($B$4 * 30.4375, 0) * (21+0.5)/50)</f>
        <v>0</v>
      </c>
      <c r="K1174" s="4">
        <f>VLOOKUP(J1174, '1_Rate_Changes'!$A$2:$C$100, 3, TRUE)</f>
        <v>0</v>
      </c>
    </row>
    <row r="1175" spans="7:11">
      <c r="G1175">
        <v>23</v>
      </c>
      <c r="H1175">
        <v>22</v>
      </c>
      <c r="I1175" s="2">
        <f>INT(DATE($B$3,1,1) + (23+0.5)*365/50)</f>
        <v>0</v>
      </c>
      <c r="J1175" s="2">
        <f>I1175 - INT(ROUND($B$4 * 30.4375, 0) * (22+0.5)/50)</f>
        <v>0</v>
      </c>
      <c r="K1175" s="4">
        <f>VLOOKUP(J1175, '1_Rate_Changes'!$A$2:$C$100, 3, TRUE)</f>
        <v>0</v>
      </c>
    </row>
    <row r="1176" spans="7:11">
      <c r="G1176">
        <v>23</v>
      </c>
      <c r="H1176">
        <v>23</v>
      </c>
      <c r="I1176" s="2">
        <f>INT(DATE($B$3,1,1) + (23+0.5)*365/50)</f>
        <v>0</v>
      </c>
      <c r="J1176" s="2">
        <f>I1176 - INT(ROUND($B$4 * 30.4375, 0) * (23+0.5)/50)</f>
        <v>0</v>
      </c>
      <c r="K1176" s="4">
        <f>VLOOKUP(J1176, '1_Rate_Changes'!$A$2:$C$100, 3, TRUE)</f>
        <v>0</v>
      </c>
    </row>
    <row r="1177" spans="7:11">
      <c r="G1177">
        <v>23</v>
      </c>
      <c r="H1177">
        <v>24</v>
      </c>
      <c r="I1177" s="2">
        <f>INT(DATE($B$3,1,1) + (23+0.5)*365/50)</f>
        <v>0</v>
      </c>
      <c r="J1177" s="2">
        <f>I1177 - INT(ROUND($B$4 * 30.4375, 0) * (24+0.5)/50)</f>
        <v>0</v>
      </c>
      <c r="K1177" s="4">
        <f>VLOOKUP(J1177, '1_Rate_Changes'!$A$2:$C$100, 3, TRUE)</f>
        <v>0</v>
      </c>
    </row>
    <row r="1178" spans="7:11">
      <c r="G1178">
        <v>23</v>
      </c>
      <c r="H1178">
        <v>25</v>
      </c>
      <c r="I1178" s="2">
        <f>INT(DATE($B$3,1,1) + (23+0.5)*365/50)</f>
        <v>0</v>
      </c>
      <c r="J1178" s="2">
        <f>I1178 - INT(ROUND($B$4 * 30.4375, 0) * (25+0.5)/50)</f>
        <v>0</v>
      </c>
      <c r="K1178" s="4">
        <f>VLOOKUP(J1178, '1_Rate_Changes'!$A$2:$C$100, 3, TRUE)</f>
        <v>0</v>
      </c>
    </row>
    <row r="1179" spans="7:11">
      <c r="G1179">
        <v>23</v>
      </c>
      <c r="H1179">
        <v>26</v>
      </c>
      <c r="I1179" s="2">
        <f>INT(DATE($B$3,1,1) + (23+0.5)*365/50)</f>
        <v>0</v>
      </c>
      <c r="J1179" s="2">
        <f>I1179 - INT(ROUND($B$4 * 30.4375, 0) * (26+0.5)/50)</f>
        <v>0</v>
      </c>
      <c r="K1179" s="4">
        <f>VLOOKUP(J1179, '1_Rate_Changes'!$A$2:$C$100, 3, TRUE)</f>
        <v>0</v>
      </c>
    </row>
    <row r="1180" spans="7:11">
      <c r="G1180">
        <v>23</v>
      </c>
      <c r="H1180">
        <v>27</v>
      </c>
      <c r="I1180" s="2">
        <f>INT(DATE($B$3,1,1) + (23+0.5)*365/50)</f>
        <v>0</v>
      </c>
      <c r="J1180" s="2">
        <f>I1180 - INT(ROUND($B$4 * 30.4375, 0) * (27+0.5)/50)</f>
        <v>0</v>
      </c>
      <c r="K1180" s="4">
        <f>VLOOKUP(J1180, '1_Rate_Changes'!$A$2:$C$100, 3, TRUE)</f>
        <v>0</v>
      </c>
    </row>
    <row r="1181" spans="7:11">
      <c r="G1181">
        <v>23</v>
      </c>
      <c r="H1181">
        <v>28</v>
      </c>
      <c r="I1181" s="2">
        <f>INT(DATE($B$3,1,1) + (23+0.5)*365/50)</f>
        <v>0</v>
      </c>
      <c r="J1181" s="2">
        <f>I1181 - INT(ROUND($B$4 * 30.4375, 0) * (28+0.5)/50)</f>
        <v>0</v>
      </c>
      <c r="K1181" s="4">
        <f>VLOOKUP(J1181, '1_Rate_Changes'!$A$2:$C$100, 3, TRUE)</f>
        <v>0</v>
      </c>
    </row>
    <row r="1182" spans="7:11">
      <c r="G1182">
        <v>23</v>
      </c>
      <c r="H1182">
        <v>29</v>
      </c>
      <c r="I1182" s="2">
        <f>INT(DATE($B$3,1,1) + (23+0.5)*365/50)</f>
        <v>0</v>
      </c>
      <c r="J1182" s="2">
        <f>I1182 - INT(ROUND($B$4 * 30.4375, 0) * (29+0.5)/50)</f>
        <v>0</v>
      </c>
      <c r="K1182" s="4">
        <f>VLOOKUP(J1182, '1_Rate_Changes'!$A$2:$C$100, 3, TRUE)</f>
        <v>0</v>
      </c>
    </row>
    <row r="1183" spans="7:11">
      <c r="G1183">
        <v>23</v>
      </c>
      <c r="H1183">
        <v>30</v>
      </c>
      <c r="I1183" s="2">
        <f>INT(DATE($B$3,1,1) + (23+0.5)*365/50)</f>
        <v>0</v>
      </c>
      <c r="J1183" s="2">
        <f>I1183 - INT(ROUND($B$4 * 30.4375, 0) * (30+0.5)/50)</f>
        <v>0</v>
      </c>
      <c r="K1183" s="4">
        <f>VLOOKUP(J1183, '1_Rate_Changes'!$A$2:$C$100, 3, TRUE)</f>
        <v>0</v>
      </c>
    </row>
    <row r="1184" spans="7:11">
      <c r="G1184">
        <v>23</v>
      </c>
      <c r="H1184">
        <v>31</v>
      </c>
      <c r="I1184" s="2">
        <f>INT(DATE($B$3,1,1) + (23+0.5)*365/50)</f>
        <v>0</v>
      </c>
      <c r="J1184" s="2">
        <f>I1184 - INT(ROUND($B$4 * 30.4375, 0) * (31+0.5)/50)</f>
        <v>0</v>
      </c>
      <c r="K1184" s="4">
        <f>VLOOKUP(J1184, '1_Rate_Changes'!$A$2:$C$100, 3, TRUE)</f>
        <v>0</v>
      </c>
    </row>
    <row r="1185" spans="7:11">
      <c r="G1185">
        <v>23</v>
      </c>
      <c r="H1185">
        <v>32</v>
      </c>
      <c r="I1185" s="2">
        <f>INT(DATE($B$3,1,1) + (23+0.5)*365/50)</f>
        <v>0</v>
      </c>
      <c r="J1185" s="2">
        <f>I1185 - INT(ROUND($B$4 * 30.4375, 0) * (32+0.5)/50)</f>
        <v>0</v>
      </c>
      <c r="K1185" s="4">
        <f>VLOOKUP(J1185, '1_Rate_Changes'!$A$2:$C$100, 3, TRUE)</f>
        <v>0</v>
      </c>
    </row>
    <row r="1186" spans="7:11">
      <c r="G1186">
        <v>23</v>
      </c>
      <c r="H1186">
        <v>33</v>
      </c>
      <c r="I1186" s="2">
        <f>INT(DATE($B$3,1,1) + (23+0.5)*365/50)</f>
        <v>0</v>
      </c>
      <c r="J1186" s="2">
        <f>I1186 - INT(ROUND($B$4 * 30.4375, 0) * (33+0.5)/50)</f>
        <v>0</v>
      </c>
      <c r="K1186" s="4">
        <f>VLOOKUP(J1186, '1_Rate_Changes'!$A$2:$C$100, 3, TRUE)</f>
        <v>0</v>
      </c>
    </row>
    <row r="1187" spans="7:11">
      <c r="G1187">
        <v>23</v>
      </c>
      <c r="H1187">
        <v>34</v>
      </c>
      <c r="I1187" s="2">
        <f>INT(DATE($B$3,1,1) + (23+0.5)*365/50)</f>
        <v>0</v>
      </c>
      <c r="J1187" s="2">
        <f>I1187 - INT(ROUND($B$4 * 30.4375, 0) * (34+0.5)/50)</f>
        <v>0</v>
      </c>
      <c r="K1187" s="4">
        <f>VLOOKUP(J1187, '1_Rate_Changes'!$A$2:$C$100, 3, TRUE)</f>
        <v>0</v>
      </c>
    </row>
    <row r="1188" spans="7:11">
      <c r="G1188">
        <v>23</v>
      </c>
      <c r="H1188">
        <v>35</v>
      </c>
      <c r="I1188" s="2">
        <f>INT(DATE($B$3,1,1) + (23+0.5)*365/50)</f>
        <v>0</v>
      </c>
      <c r="J1188" s="2">
        <f>I1188 - INT(ROUND($B$4 * 30.4375, 0) * (35+0.5)/50)</f>
        <v>0</v>
      </c>
      <c r="K1188" s="4">
        <f>VLOOKUP(J1188, '1_Rate_Changes'!$A$2:$C$100, 3, TRUE)</f>
        <v>0</v>
      </c>
    </row>
    <row r="1189" spans="7:11">
      <c r="G1189">
        <v>23</v>
      </c>
      <c r="H1189">
        <v>36</v>
      </c>
      <c r="I1189" s="2">
        <f>INT(DATE($B$3,1,1) + (23+0.5)*365/50)</f>
        <v>0</v>
      </c>
      <c r="J1189" s="2">
        <f>I1189 - INT(ROUND($B$4 * 30.4375, 0) * (36+0.5)/50)</f>
        <v>0</v>
      </c>
      <c r="K1189" s="4">
        <f>VLOOKUP(J1189, '1_Rate_Changes'!$A$2:$C$100, 3, TRUE)</f>
        <v>0</v>
      </c>
    </row>
    <row r="1190" spans="7:11">
      <c r="G1190">
        <v>23</v>
      </c>
      <c r="H1190">
        <v>37</v>
      </c>
      <c r="I1190" s="2">
        <f>INT(DATE($B$3,1,1) + (23+0.5)*365/50)</f>
        <v>0</v>
      </c>
      <c r="J1190" s="2">
        <f>I1190 - INT(ROUND($B$4 * 30.4375, 0) * (37+0.5)/50)</f>
        <v>0</v>
      </c>
      <c r="K1190" s="4">
        <f>VLOOKUP(J1190, '1_Rate_Changes'!$A$2:$C$100, 3, TRUE)</f>
        <v>0</v>
      </c>
    </row>
    <row r="1191" spans="7:11">
      <c r="G1191">
        <v>23</v>
      </c>
      <c r="H1191">
        <v>38</v>
      </c>
      <c r="I1191" s="2">
        <f>INT(DATE($B$3,1,1) + (23+0.5)*365/50)</f>
        <v>0</v>
      </c>
      <c r="J1191" s="2">
        <f>I1191 - INT(ROUND($B$4 * 30.4375, 0) * (38+0.5)/50)</f>
        <v>0</v>
      </c>
      <c r="K1191" s="4">
        <f>VLOOKUP(J1191, '1_Rate_Changes'!$A$2:$C$100, 3, TRUE)</f>
        <v>0</v>
      </c>
    </row>
    <row r="1192" spans="7:11">
      <c r="G1192">
        <v>23</v>
      </c>
      <c r="H1192">
        <v>39</v>
      </c>
      <c r="I1192" s="2">
        <f>INT(DATE($B$3,1,1) + (23+0.5)*365/50)</f>
        <v>0</v>
      </c>
      <c r="J1192" s="2">
        <f>I1192 - INT(ROUND($B$4 * 30.4375, 0) * (39+0.5)/50)</f>
        <v>0</v>
      </c>
      <c r="K1192" s="4">
        <f>VLOOKUP(J1192, '1_Rate_Changes'!$A$2:$C$100, 3, TRUE)</f>
        <v>0</v>
      </c>
    </row>
    <row r="1193" spans="7:11">
      <c r="G1193">
        <v>23</v>
      </c>
      <c r="H1193">
        <v>40</v>
      </c>
      <c r="I1193" s="2">
        <f>INT(DATE($B$3,1,1) + (23+0.5)*365/50)</f>
        <v>0</v>
      </c>
      <c r="J1193" s="2">
        <f>I1193 - INT(ROUND($B$4 * 30.4375, 0) * (40+0.5)/50)</f>
        <v>0</v>
      </c>
      <c r="K1193" s="4">
        <f>VLOOKUP(J1193, '1_Rate_Changes'!$A$2:$C$100, 3, TRUE)</f>
        <v>0</v>
      </c>
    </row>
    <row r="1194" spans="7:11">
      <c r="G1194">
        <v>23</v>
      </c>
      <c r="H1194">
        <v>41</v>
      </c>
      <c r="I1194" s="2">
        <f>INT(DATE($B$3,1,1) + (23+0.5)*365/50)</f>
        <v>0</v>
      </c>
      <c r="J1194" s="2">
        <f>I1194 - INT(ROUND($B$4 * 30.4375, 0) * (41+0.5)/50)</f>
        <v>0</v>
      </c>
      <c r="K1194" s="4">
        <f>VLOOKUP(J1194, '1_Rate_Changes'!$A$2:$C$100, 3, TRUE)</f>
        <v>0</v>
      </c>
    </row>
    <row r="1195" spans="7:11">
      <c r="G1195">
        <v>23</v>
      </c>
      <c r="H1195">
        <v>42</v>
      </c>
      <c r="I1195" s="2">
        <f>INT(DATE($B$3,1,1) + (23+0.5)*365/50)</f>
        <v>0</v>
      </c>
      <c r="J1195" s="2">
        <f>I1195 - INT(ROUND($B$4 * 30.4375, 0) * (42+0.5)/50)</f>
        <v>0</v>
      </c>
      <c r="K1195" s="4">
        <f>VLOOKUP(J1195, '1_Rate_Changes'!$A$2:$C$100, 3, TRUE)</f>
        <v>0</v>
      </c>
    </row>
    <row r="1196" spans="7:11">
      <c r="G1196">
        <v>23</v>
      </c>
      <c r="H1196">
        <v>43</v>
      </c>
      <c r="I1196" s="2">
        <f>INT(DATE($B$3,1,1) + (23+0.5)*365/50)</f>
        <v>0</v>
      </c>
      <c r="J1196" s="2">
        <f>I1196 - INT(ROUND($B$4 * 30.4375, 0) * (43+0.5)/50)</f>
        <v>0</v>
      </c>
      <c r="K1196" s="4">
        <f>VLOOKUP(J1196, '1_Rate_Changes'!$A$2:$C$100, 3, TRUE)</f>
        <v>0</v>
      </c>
    </row>
    <row r="1197" spans="7:11">
      <c r="G1197">
        <v>23</v>
      </c>
      <c r="H1197">
        <v>44</v>
      </c>
      <c r="I1197" s="2">
        <f>INT(DATE($B$3,1,1) + (23+0.5)*365/50)</f>
        <v>0</v>
      </c>
      <c r="J1197" s="2">
        <f>I1197 - INT(ROUND($B$4 * 30.4375, 0) * (44+0.5)/50)</f>
        <v>0</v>
      </c>
      <c r="K1197" s="4">
        <f>VLOOKUP(J1197, '1_Rate_Changes'!$A$2:$C$100, 3, TRUE)</f>
        <v>0</v>
      </c>
    </row>
    <row r="1198" spans="7:11">
      <c r="G1198">
        <v>23</v>
      </c>
      <c r="H1198">
        <v>45</v>
      </c>
      <c r="I1198" s="2">
        <f>INT(DATE($B$3,1,1) + (23+0.5)*365/50)</f>
        <v>0</v>
      </c>
      <c r="J1198" s="2">
        <f>I1198 - INT(ROUND($B$4 * 30.4375, 0) * (45+0.5)/50)</f>
        <v>0</v>
      </c>
      <c r="K1198" s="4">
        <f>VLOOKUP(J1198, '1_Rate_Changes'!$A$2:$C$100, 3, TRUE)</f>
        <v>0</v>
      </c>
    </row>
    <row r="1199" spans="7:11">
      <c r="G1199">
        <v>23</v>
      </c>
      <c r="H1199">
        <v>46</v>
      </c>
      <c r="I1199" s="2">
        <f>INT(DATE($B$3,1,1) + (23+0.5)*365/50)</f>
        <v>0</v>
      </c>
      <c r="J1199" s="2">
        <f>I1199 - INT(ROUND($B$4 * 30.4375, 0) * (46+0.5)/50)</f>
        <v>0</v>
      </c>
      <c r="K1199" s="4">
        <f>VLOOKUP(J1199, '1_Rate_Changes'!$A$2:$C$100, 3, TRUE)</f>
        <v>0</v>
      </c>
    </row>
    <row r="1200" spans="7:11">
      <c r="G1200">
        <v>23</v>
      </c>
      <c r="H1200">
        <v>47</v>
      </c>
      <c r="I1200" s="2">
        <f>INT(DATE($B$3,1,1) + (23+0.5)*365/50)</f>
        <v>0</v>
      </c>
      <c r="J1200" s="2">
        <f>I1200 - INT(ROUND($B$4 * 30.4375, 0) * (47+0.5)/50)</f>
        <v>0</v>
      </c>
      <c r="K1200" s="4">
        <f>VLOOKUP(J1200, '1_Rate_Changes'!$A$2:$C$100, 3, TRUE)</f>
        <v>0</v>
      </c>
    </row>
    <row r="1201" spans="7:11">
      <c r="G1201">
        <v>23</v>
      </c>
      <c r="H1201">
        <v>48</v>
      </c>
      <c r="I1201" s="2">
        <f>INT(DATE($B$3,1,1) + (23+0.5)*365/50)</f>
        <v>0</v>
      </c>
      <c r="J1201" s="2">
        <f>I1201 - INT(ROUND($B$4 * 30.4375, 0) * (48+0.5)/50)</f>
        <v>0</v>
      </c>
      <c r="K1201" s="4">
        <f>VLOOKUP(J1201, '1_Rate_Changes'!$A$2:$C$100, 3, TRUE)</f>
        <v>0</v>
      </c>
    </row>
    <row r="1202" spans="7:11">
      <c r="G1202">
        <v>23</v>
      </c>
      <c r="H1202">
        <v>49</v>
      </c>
      <c r="I1202" s="2">
        <f>INT(DATE($B$3,1,1) + (23+0.5)*365/50)</f>
        <v>0</v>
      </c>
      <c r="J1202" s="2">
        <f>I1202 - INT(ROUND($B$4 * 30.4375, 0) * (49+0.5)/50)</f>
        <v>0</v>
      </c>
      <c r="K1202" s="4">
        <f>VLOOKUP(J1202, '1_Rate_Changes'!$A$2:$C$100, 3, TRUE)</f>
        <v>0</v>
      </c>
    </row>
    <row r="1203" spans="7:11">
      <c r="G1203">
        <v>24</v>
      </c>
      <c r="H1203">
        <v>0</v>
      </c>
      <c r="I1203" s="2">
        <f>INT(DATE($B$3,1,1) + (24+0.5)*365/50)</f>
        <v>0</v>
      </c>
      <c r="J1203" s="2">
        <f>I1203 - INT(ROUND($B$4 * 30.4375, 0) * (0+0.5)/50)</f>
        <v>0</v>
      </c>
      <c r="K1203" s="4">
        <f>VLOOKUP(J1203, '1_Rate_Changes'!$A$2:$C$100, 3, TRUE)</f>
        <v>0</v>
      </c>
    </row>
    <row r="1204" spans="7:11">
      <c r="G1204">
        <v>24</v>
      </c>
      <c r="H1204">
        <v>1</v>
      </c>
      <c r="I1204" s="2">
        <f>INT(DATE($B$3,1,1) + (24+0.5)*365/50)</f>
        <v>0</v>
      </c>
      <c r="J1204" s="2">
        <f>I1204 - INT(ROUND($B$4 * 30.4375, 0) * (1+0.5)/50)</f>
        <v>0</v>
      </c>
      <c r="K1204" s="4">
        <f>VLOOKUP(J1204, '1_Rate_Changes'!$A$2:$C$100, 3, TRUE)</f>
        <v>0</v>
      </c>
    </row>
    <row r="1205" spans="7:11">
      <c r="G1205">
        <v>24</v>
      </c>
      <c r="H1205">
        <v>2</v>
      </c>
      <c r="I1205" s="2">
        <f>INT(DATE($B$3,1,1) + (24+0.5)*365/50)</f>
        <v>0</v>
      </c>
      <c r="J1205" s="2">
        <f>I1205 - INT(ROUND($B$4 * 30.4375, 0) * (2+0.5)/50)</f>
        <v>0</v>
      </c>
      <c r="K1205" s="4">
        <f>VLOOKUP(J1205, '1_Rate_Changes'!$A$2:$C$100, 3, TRUE)</f>
        <v>0</v>
      </c>
    </row>
    <row r="1206" spans="7:11">
      <c r="G1206">
        <v>24</v>
      </c>
      <c r="H1206">
        <v>3</v>
      </c>
      <c r="I1206" s="2">
        <f>INT(DATE($B$3,1,1) + (24+0.5)*365/50)</f>
        <v>0</v>
      </c>
      <c r="J1206" s="2">
        <f>I1206 - INT(ROUND($B$4 * 30.4375, 0) * (3+0.5)/50)</f>
        <v>0</v>
      </c>
      <c r="K1206" s="4">
        <f>VLOOKUP(J1206, '1_Rate_Changes'!$A$2:$C$100, 3, TRUE)</f>
        <v>0</v>
      </c>
    </row>
    <row r="1207" spans="7:11">
      <c r="G1207">
        <v>24</v>
      </c>
      <c r="H1207">
        <v>4</v>
      </c>
      <c r="I1207" s="2">
        <f>INT(DATE($B$3,1,1) + (24+0.5)*365/50)</f>
        <v>0</v>
      </c>
      <c r="J1207" s="2">
        <f>I1207 - INT(ROUND($B$4 * 30.4375, 0) * (4+0.5)/50)</f>
        <v>0</v>
      </c>
      <c r="K1207" s="4">
        <f>VLOOKUP(J1207, '1_Rate_Changes'!$A$2:$C$100, 3, TRUE)</f>
        <v>0</v>
      </c>
    </row>
    <row r="1208" spans="7:11">
      <c r="G1208">
        <v>24</v>
      </c>
      <c r="H1208">
        <v>5</v>
      </c>
      <c r="I1208" s="2">
        <f>INT(DATE($B$3,1,1) + (24+0.5)*365/50)</f>
        <v>0</v>
      </c>
      <c r="J1208" s="2">
        <f>I1208 - INT(ROUND($B$4 * 30.4375, 0) * (5+0.5)/50)</f>
        <v>0</v>
      </c>
      <c r="K1208" s="4">
        <f>VLOOKUP(J1208, '1_Rate_Changes'!$A$2:$C$100, 3, TRUE)</f>
        <v>0</v>
      </c>
    </row>
    <row r="1209" spans="7:11">
      <c r="G1209">
        <v>24</v>
      </c>
      <c r="H1209">
        <v>6</v>
      </c>
      <c r="I1209" s="2">
        <f>INT(DATE($B$3,1,1) + (24+0.5)*365/50)</f>
        <v>0</v>
      </c>
      <c r="J1209" s="2">
        <f>I1209 - INT(ROUND($B$4 * 30.4375, 0) * (6+0.5)/50)</f>
        <v>0</v>
      </c>
      <c r="K1209" s="4">
        <f>VLOOKUP(J1209, '1_Rate_Changes'!$A$2:$C$100, 3, TRUE)</f>
        <v>0</v>
      </c>
    </row>
    <row r="1210" spans="7:11">
      <c r="G1210">
        <v>24</v>
      </c>
      <c r="H1210">
        <v>7</v>
      </c>
      <c r="I1210" s="2">
        <f>INT(DATE($B$3,1,1) + (24+0.5)*365/50)</f>
        <v>0</v>
      </c>
      <c r="J1210" s="2">
        <f>I1210 - INT(ROUND($B$4 * 30.4375, 0) * (7+0.5)/50)</f>
        <v>0</v>
      </c>
      <c r="K1210" s="4">
        <f>VLOOKUP(J1210, '1_Rate_Changes'!$A$2:$C$100, 3, TRUE)</f>
        <v>0</v>
      </c>
    </row>
    <row r="1211" spans="7:11">
      <c r="G1211">
        <v>24</v>
      </c>
      <c r="H1211">
        <v>8</v>
      </c>
      <c r="I1211" s="2">
        <f>INT(DATE($B$3,1,1) + (24+0.5)*365/50)</f>
        <v>0</v>
      </c>
      <c r="J1211" s="2">
        <f>I1211 - INT(ROUND($B$4 * 30.4375, 0) * (8+0.5)/50)</f>
        <v>0</v>
      </c>
      <c r="K1211" s="4">
        <f>VLOOKUP(J1211, '1_Rate_Changes'!$A$2:$C$100, 3, TRUE)</f>
        <v>0</v>
      </c>
    </row>
    <row r="1212" spans="7:11">
      <c r="G1212">
        <v>24</v>
      </c>
      <c r="H1212">
        <v>9</v>
      </c>
      <c r="I1212" s="2">
        <f>INT(DATE($B$3,1,1) + (24+0.5)*365/50)</f>
        <v>0</v>
      </c>
      <c r="J1212" s="2">
        <f>I1212 - INT(ROUND($B$4 * 30.4375, 0) * (9+0.5)/50)</f>
        <v>0</v>
      </c>
      <c r="K1212" s="4">
        <f>VLOOKUP(J1212, '1_Rate_Changes'!$A$2:$C$100, 3, TRUE)</f>
        <v>0</v>
      </c>
    </row>
    <row r="1213" spans="7:11">
      <c r="G1213">
        <v>24</v>
      </c>
      <c r="H1213">
        <v>10</v>
      </c>
      <c r="I1213" s="2">
        <f>INT(DATE($B$3,1,1) + (24+0.5)*365/50)</f>
        <v>0</v>
      </c>
      <c r="J1213" s="2">
        <f>I1213 - INT(ROUND($B$4 * 30.4375, 0) * (10+0.5)/50)</f>
        <v>0</v>
      </c>
      <c r="K1213" s="4">
        <f>VLOOKUP(J1213, '1_Rate_Changes'!$A$2:$C$100, 3, TRUE)</f>
        <v>0</v>
      </c>
    </row>
    <row r="1214" spans="7:11">
      <c r="G1214">
        <v>24</v>
      </c>
      <c r="H1214">
        <v>11</v>
      </c>
      <c r="I1214" s="2">
        <f>INT(DATE($B$3,1,1) + (24+0.5)*365/50)</f>
        <v>0</v>
      </c>
      <c r="J1214" s="2">
        <f>I1214 - INT(ROUND($B$4 * 30.4375, 0) * (11+0.5)/50)</f>
        <v>0</v>
      </c>
      <c r="K1214" s="4">
        <f>VLOOKUP(J1214, '1_Rate_Changes'!$A$2:$C$100, 3, TRUE)</f>
        <v>0</v>
      </c>
    </row>
    <row r="1215" spans="7:11">
      <c r="G1215">
        <v>24</v>
      </c>
      <c r="H1215">
        <v>12</v>
      </c>
      <c r="I1215" s="2">
        <f>INT(DATE($B$3,1,1) + (24+0.5)*365/50)</f>
        <v>0</v>
      </c>
      <c r="J1215" s="2">
        <f>I1215 - INT(ROUND($B$4 * 30.4375, 0) * (12+0.5)/50)</f>
        <v>0</v>
      </c>
      <c r="K1215" s="4">
        <f>VLOOKUP(J1215, '1_Rate_Changes'!$A$2:$C$100, 3, TRUE)</f>
        <v>0</v>
      </c>
    </row>
    <row r="1216" spans="7:11">
      <c r="G1216">
        <v>24</v>
      </c>
      <c r="H1216">
        <v>13</v>
      </c>
      <c r="I1216" s="2">
        <f>INT(DATE($B$3,1,1) + (24+0.5)*365/50)</f>
        <v>0</v>
      </c>
      <c r="J1216" s="2">
        <f>I1216 - INT(ROUND($B$4 * 30.4375, 0) * (13+0.5)/50)</f>
        <v>0</v>
      </c>
      <c r="K1216" s="4">
        <f>VLOOKUP(J1216, '1_Rate_Changes'!$A$2:$C$100, 3, TRUE)</f>
        <v>0</v>
      </c>
    </row>
    <row r="1217" spans="7:11">
      <c r="G1217">
        <v>24</v>
      </c>
      <c r="H1217">
        <v>14</v>
      </c>
      <c r="I1217" s="2">
        <f>INT(DATE($B$3,1,1) + (24+0.5)*365/50)</f>
        <v>0</v>
      </c>
      <c r="J1217" s="2">
        <f>I1217 - INT(ROUND($B$4 * 30.4375, 0) * (14+0.5)/50)</f>
        <v>0</v>
      </c>
      <c r="K1217" s="4">
        <f>VLOOKUP(J1217, '1_Rate_Changes'!$A$2:$C$100, 3, TRUE)</f>
        <v>0</v>
      </c>
    </row>
    <row r="1218" spans="7:11">
      <c r="G1218">
        <v>24</v>
      </c>
      <c r="H1218">
        <v>15</v>
      </c>
      <c r="I1218" s="2">
        <f>INT(DATE($B$3,1,1) + (24+0.5)*365/50)</f>
        <v>0</v>
      </c>
      <c r="J1218" s="2">
        <f>I1218 - INT(ROUND($B$4 * 30.4375, 0) * (15+0.5)/50)</f>
        <v>0</v>
      </c>
      <c r="K1218" s="4">
        <f>VLOOKUP(J1218, '1_Rate_Changes'!$A$2:$C$100, 3, TRUE)</f>
        <v>0</v>
      </c>
    </row>
    <row r="1219" spans="7:11">
      <c r="G1219">
        <v>24</v>
      </c>
      <c r="H1219">
        <v>16</v>
      </c>
      <c r="I1219" s="2">
        <f>INT(DATE($B$3,1,1) + (24+0.5)*365/50)</f>
        <v>0</v>
      </c>
      <c r="J1219" s="2">
        <f>I1219 - INT(ROUND($B$4 * 30.4375, 0) * (16+0.5)/50)</f>
        <v>0</v>
      </c>
      <c r="K1219" s="4">
        <f>VLOOKUP(J1219, '1_Rate_Changes'!$A$2:$C$100, 3, TRUE)</f>
        <v>0</v>
      </c>
    </row>
    <row r="1220" spans="7:11">
      <c r="G1220">
        <v>24</v>
      </c>
      <c r="H1220">
        <v>17</v>
      </c>
      <c r="I1220" s="2">
        <f>INT(DATE($B$3,1,1) + (24+0.5)*365/50)</f>
        <v>0</v>
      </c>
      <c r="J1220" s="2">
        <f>I1220 - INT(ROUND($B$4 * 30.4375, 0) * (17+0.5)/50)</f>
        <v>0</v>
      </c>
      <c r="K1220" s="4">
        <f>VLOOKUP(J1220, '1_Rate_Changes'!$A$2:$C$100, 3, TRUE)</f>
        <v>0</v>
      </c>
    </row>
    <row r="1221" spans="7:11">
      <c r="G1221">
        <v>24</v>
      </c>
      <c r="H1221">
        <v>18</v>
      </c>
      <c r="I1221" s="2">
        <f>INT(DATE($B$3,1,1) + (24+0.5)*365/50)</f>
        <v>0</v>
      </c>
      <c r="J1221" s="2">
        <f>I1221 - INT(ROUND($B$4 * 30.4375, 0) * (18+0.5)/50)</f>
        <v>0</v>
      </c>
      <c r="K1221" s="4">
        <f>VLOOKUP(J1221, '1_Rate_Changes'!$A$2:$C$100, 3, TRUE)</f>
        <v>0</v>
      </c>
    </row>
    <row r="1222" spans="7:11">
      <c r="G1222">
        <v>24</v>
      </c>
      <c r="H1222">
        <v>19</v>
      </c>
      <c r="I1222" s="2">
        <f>INT(DATE($B$3,1,1) + (24+0.5)*365/50)</f>
        <v>0</v>
      </c>
      <c r="J1222" s="2">
        <f>I1222 - INT(ROUND($B$4 * 30.4375, 0) * (19+0.5)/50)</f>
        <v>0</v>
      </c>
      <c r="K1222" s="4">
        <f>VLOOKUP(J1222, '1_Rate_Changes'!$A$2:$C$100, 3, TRUE)</f>
        <v>0</v>
      </c>
    </row>
    <row r="1223" spans="7:11">
      <c r="G1223">
        <v>24</v>
      </c>
      <c r="H1223">
        <v>20</v>
      </c>
      <c r="I1223" s="2">
        <f>INT(DATE($B$3,1,1) + (24+0.5)*365/50)</f>
        <v>0</v>
      </c>
      <c r="J1223" s="2">
        <f>I1223 - INT(ROUND($B$4 * 30.4375, 0) * (20+0.5)/50)</f>
        <v>0</v>
      </c>
      <c r="K1223" s="4">
        <f>VLOOKUP(J1223, '1_Rate_Changes'!$A$2:$C$100, 3, TRUE)</f>
        <v>0</v>
      </c>
    </row>
    <row r="1224" spans="7:11">
      <c r="G1224">
        <v>24</v>
      </c>
      <c r="H1224">
        <v>21</v>
      </c>
      <c r="I1224" s="2">
        <f>INT(DATE($B$3,1,1) + (24+0.5)*365/50)</f>
        <v>0</v>
      </c>
      <c r="J1224" s="2">
        <f>I1224 - INT(ROUND($B$4 * 30.4375, 0) * (21+0.5)/50)</f>
        <v>0</v>
      </c>
      <c r="K1224" s="4">
        <f>VLOOKUP(J1224, '1_Rate_Changes'!$A$2:$C$100, 3, TRUE)</f>
        <v>0</v>
      </c>
    </row>
    <row r="1225" spans="7:11">
      <c r="G1225">
        <v>24</v>
      </c>
      <c r="H1225">
        <v>22</v>
      </c>
      <c r="I1225" s="2">
        <f>INT(DATE($B$3,1,1) + (24+0.5)*365/50)</f>
        <v>0</v>
      </c>
      <c r="J1225" s="2">
        <f>I1225 - INT(ROUND($B$4 * 30.4375, 0) * (22+0.5)/50)</f>
        <v>0</v>
      </c>
      <c r="K1225" s="4">
        <f>VLOOKUP(J1225, '1_Rate_Changes'!$A$2:$C$100, 3, TRUE)</f>
        <v>0</v>
      </c>
    </row>
    <row r="1226" spans="7:11">
      <c r="G1226">
        <v>24</v>
      </c>
      <c r="H1226">
        <v>23</v>
      </c>
      <c r="I1226" s="2">
        <f>INT(DATE($B$3,1,1) + (24+0.5)*365/50)</f>
        <v>0</v>
      </c>
      <c r="J1226" s="2">
        <f>I1226 - INT(ROUND($B$4 * 30.4375, 0) * (23+0.5)/50)</f>
        <v>0</v>
      </c>
      <c r="K1226" s="4">
        <f>VLOOKUP(J1226, '1_Rate_Changes'!$A$2:$C$100, 3, TRUE)</f>
        <v>0</v>
      </c>
    </row>
    <row r="1227" spans="7:11">
      <c r="G1227">
        <v>24</v>
      </c>
      <c r="H1227">
        <v>24</v>
      </c>
      <c r="I1227" s="2">
        <f>INT(DATE($B$3,1,1) + (24+0.5)*365/50)</f>
        <v>0</v>
      </c>
      <c r="J1227" s="2">
        <f>I1227 - INT(ROUND($B$4 * 30.4375, 0) * (24+0.5)/50)</f>
        <v>0</v>
      </c>
      <c r="K1227" s="4">
        <f>VLOOKUP(J1227, '1_Rate_Changes'!$A$2:$C$100, 3, TRUE)</f>
        <v>0</v>
      </c>
    </row>
    <row r="1228" spans="7:11">
      <c r="G1228">
        <v>24</v>
      </c>
      <c r="H1228">
        <v>25</v>
      </c>
      <c r="I1228" s="2">
        <f>INT(DATE($B$3,1,1) + (24+0.5)*365/50)</f>
        <v>0</v>
      </c>
      <c r="J1228" s="2">
        <f>I1228 - INT(ROUND($B$4 * 30.4375, 0) * (25+0.5)/50)</f>
        <v>0</v>
      </c>
      <c r="K1228" s="4">
        <f>VLOOKUP(J1228, '1_Rate_Changes'!$A$2:$C$100, 3, TRUE)</f>
        <v>0</v>
      </c>
    </row>
    <row r="1229" spans="7:11">
      <c r="G1229">
        <v>24</v>
      </c>
      <c r="H1229">
        <v>26</v>
      </c>
      <c r="I1229" s="2">
        <f>INT(DATE($B$3,1,1) + (24+0.5)*365/50)</f>
        <v>0</v>
      </c>
      <c r="J1229" s="2">
        <f>I1229 - INT(ROUND($B$4 * 30.4375, 0) * (26+0.5)/50)</f>
        <v>0</v>
      </c>
      <c r="K1229" s="4">
        <f>VLOOKUP(J1229, '1_Rate_Changes'!$A$2:$C$100, 3, TRUE)</f>
        <v>0</v>
      </c>
    </row>
    <row r="1230" spans="7:11">
      <c r="G1230">
        <v>24</v>
      </c>
      <c r="H1230">
        <v>27</v>
      </c>
      <c r="I1230" s="2">
        <f>INT(DATE($B$3,1,1) + (24+0.5)*365/50)</f>
        <v>0</v>
      </c>
      <c r="J1230" s="2">
        <f>I1230 - INT(ROUND($B$4 * 30.4375, 0) * (27+0.5)/50)</f>
        <v>0</v>
      </c>
      <c r="K1230" s="4">
        <f>VLOOKUP(J1230, '1_Rate_Changes'!$A$2:$C$100, 3, TRUE)</f>
        <v>0</v>
      </c>
    </row>
    <row r="1231" spans="7:11">
      <c r="G1231">
        <v>24</v>
      </c>
      <c r="H1231">
        <v>28</v>
      </c>
      <c r="I1231" s="2">
        <f>INT(DATE($B$3,1,1) + (24+0.5)*365/50)</f>
        <v>0</v>
      </c>
      <c r="J1231" s="2">
        <f>I1231 - INT(ROUND($B$4 * 30.4375, 0) * (28+0.5)/50)</f>
        <v>0</v>
      </c>
      <c r="K1231" s="4">
        <f>VLOOKUP(J1231, '1_Rate_Changes'!$A$2:$C$100, 3, TRUE)</f>
        <v>0</v>
      </c>
    </row>
    <row r="1232" spans="7:11">
      <c r="G1232">
        <v>24</v>
      </c>
      <c r="H1232">
        <v>29</v>
      </c>
      <c r="I1232" s="2">
        <f>INT(DATE($B$3,1,1) + (24+0.5)*365/50)</f>
        <v>0</v>
      </c>
      <c r="J1232" s="2">
        <f>I1232 - INT(ROUND($B$4 * 30.4375, 0) * (29+0.5)/50)</f>
        <v>0</v>
      </c>
      <c r="K1232" s="4">
        <f>VLOOKUP(J1232, '1_Rate_Changes'!$A$2:$C$100, 3, TRUE)</f>
        <v>0</v>
      </c>
    </row>
    <row r="1233" spans="7:11">
      <c r="G1233">
        <v>24</v>
      </c>
      <c r="H1233">
        <v>30</v>
      </c>
      <c r="I1233" s="2">
        <f>INT(DATE($B$3,1,1) + (24+0.5)*365/50)</f>
        <v>0</v>
      </c>
      <c r="J1233" s="2">
        <f>I1233 - INT(ROUND($B$4 * 30.4375, 0) * (30+0.5)/50)</f>
        <v>0</v>
      </c>
      <c r="K1233" s="4">
        <f>VLOOKUP(J1233, '1_Rate_Changes'!$A$2:$C$100, 3, TRUE)</f>
        <v>0</v>
      </c>
    </row>
    <row r="1234" spans="7:11">
      <c r="G1234">
        <v>24</v>
      </c>
      <c r="H1234">
        <v>31</v>
      </c>
      <c r="I1234" s="2">
        <f>INT(DATE($B$3,1,1) + (24+0.5)*365/50)</f>
        <v>0</v>
      </c>
      <c r="J1234" s="2">
        <f>I1234 - INT(ROUND($B$4 * 30.4375, 0) * (31+0.5)/50)</f>
        <v>0</v>
      </c>
      <c r="K1234" s="4">
        <f>VLOOKUP(J1234, '1_Rate_Changes'!$A$2:$C$100, 3, TRUE)</f>
        <v>0</v>
      </c>
    </row>
    <row r="1235" spans="7:11">
      <c r="G1235">
        <v>24</v>
      </c>
      <c r="H1235">
        <v>32</v>
      </c>
      <c r="I1235" s="2">
        <f>INT(DATE($B$3,1,1) + (24+0.5)*365/50)</f>
        <v>0</v>
      </c>
      <c r="J1235" s="2">
        <f>I1235 - INT(ROUND($B$4 * 30.4375, 0) * (32+0.5)/50)</f>
        <v>0</v>
      </c>
      <c r="K1235" s="4">
        <f>VLOOKUP(J1235, '1_Rate_Changes'!$A$2:$C$100, 3, TRUE)</f>
        <v>0</v>
      </c>
    </row>
    <row r="1236" spans="7:11">
      <c r="G1236">
        <v>24</v>
      </c>
      <c r="H1236">
        <v>33</v>
      </c>
      <c r="I1236" s="2">
        <f>INT(DATE($B$3,1,1) + (24+0.5)*365/50)</f>
        <v>0</v>
      </c>
      <c r="J1236" s="2">
        <f>I1236 - INT(ROUND($B$4 * 30.4375, 0) * (33+0.5)/50)</f>
        <v>0</v>
      </c>
      <c r="K1236" s="4">
        <f>VLOOKUP(J1236, '1_Rate_Changes'!$A$2:$C$100, 3, TRUE)</f>
        <v>0</v>
      </c>
    </row>
    <row r="1237" spans="7:11">
      <c r="G1237">
        <v>24</v>
      </c>
      <c r="H1237">
        <v>34</v>
      </c>
      <c r="I1237" s="2">
        <f>INT(DATE($B$3,1,1) + (24+0.5)*365/50)</f>
        <v>0</v>
      </c>
      <c r="J1237" s="2">
        <f>I1237 - INT(ROUND($B$4 * 30.4375, 0) * (34+0.5)/50)</f>
        <v>0</v>
      </c>
      <c r="K1237" s="4">
        <f>VLOOKUP(J1237, '1_Rate_Changes'!$A$2:$C$100, 3, TRUE)</f>
        <v>0</v>
      </c>
    </row>
    <row r="1238" spans="7:11">
      <c r="G1238">
        <v>24</v>
      </c>
      <c r="H1238">
        <v>35</v>
      </c>
      <c r="I1238" s="2">
        <f>INT(DATE($B$3,1,1) + (24+0.5)*365/50)</f>
        <v>0</v>
      </c>
      <c r="J1238" s="2">
        <f>I1238 - INT(ROUND($B$4 * 30.4375, 0) * (35+0.5)/50)</f>
        <v>0</v>
      </c>
      <c r="K1238" s="4">
        <f>VLOOKUP(J1238, '1_Rate_Changes'!$A$2:$C$100, 3, TRUE)</f>
        <v>0</v>
      </c>
    </row>
    <row r="1239" spans="7:11">
      <c r="G1239">
        <v>24</v>
      </c>
      <c r="H1239">
        <v>36</v>
      </c>
      <c r="I1239" s="2">
        <f>INT(DATE($B$3,1,1) + (24+0.5)*365/50)</f>
        <v>0</v>
      </c>
      <c r="J1239" s="2">
        <f>I1239 - INT(ROUND($B$4 * 30.4375, 0) * (36+0.5)/50)</f>
        <v>0</v>
      </c>
      <c r="K1239" s="4">
        <f>VLOOKUP(J1239, '1_Rate_Changes'!$A$2:$C$100, 3, TRUE)</f>
        <v>0</v>
      </c>
    </row>
    <row r="1240" spans="7:11">
      <c r="G1240">
        <v>24</v>
      </c>
      <c r="H1240">
        <v>37</v>
      </c>
      <c r="I1240" s="2">
        <f>INT(DATE($B$3,1,1) + (24+0.5)*365/50)</f>
        <v>0</v>
      </c>
      <c r="J1240" s="2">
        <f>I1240 - INT(ROUND($B$4 * 30.4375, 0) * (37+0.5)/50)</f>
        <v>0</v>
      </c>
      <c r="K1240" s="4">
        <f>VLOOKUP(J1240, '1_Rate_Changes'!$A$2:$C$100, 3, TRUE)</f>
        <v>0</v>
      </c>
    </row>
    <row r="1241" spans="7:11">
      <c r="G1241">
        <v>24</v>
      </c>
      <c r="H1241">
        <v>38</v>
      </c>
      <c r="I1241" s="2">
        <f>INT(DATE($B$3,1,1) + (24+0.5)*365/50)</f>
        <v>0</v>
      </c>
      <c r="J1241" s="2">
        <f>I1241 - INT(ROUND($B$4 * 30.4375, 0) * (38+0.5)/50)</f>
        <v>0</v>
      </c>
      <c r="K1241" s="4">
        <f>VLOOKUP(J1241, '1_Rate_Changes'!$A$2:$C$100, 3, TRUE)</f>
        <v>0</v>
      </c>
    </row>
    <row r="1242" spans="7:11">
      <c r="G1242">
        <v>24</v>
      </c>
      <c r="H1242">
        <v>39</v>
      </c>
      <c r="I1242" s="2">
        <f>INT(DATE($B$3,1,1) + (24+0.5)*365/50)</f>
        <v>0</v>
      </c>
      <c r="J1242" s="2">
        <f>I1242 - INT(ROUND($B$4 * 30.4375, 0) * (39+0.5)/50)</f>
        <v>0</v>
      </c>
      <c r="K1242" s="4">
        <f>VLOOKUP(J1242, '1_Rate_Changes'!$A$2:$C$100, 3, TRUE)</f>
        <v>0</v>
      </c>
    </row>
    <row r="1243" spans="7:11">
      <c r="G1243">
        <v>24</v>
      </c>
      <c r="H1243">
        <v>40</v>
      </c>
      <c r="I1243" s="2">
        <f>INT(DATE($B$3,1,1) + (24+0.5)*365/50)</f>
        <v>0</v>
      </c>
      <c r="J1243" s="2">
        <f>I1243 - INT(ROUND($B$4 * 30.4375, 0) * (40+0.5)/50)</f>
        <v>0</v>
      </c>
      <c r="K1243" s="4">
        <f>VLOOKUP(J1243, '1_Rate_Changes'!$A$2:$C$100, 3, TRUE)</f>
        <v>0</v>
      </c>
    </row>
    <row r="1244" spans="7:11">
      <c r="G1244">
        <v>24</v>
      </c>
      <c r="H1244">
        <v>41</v>
      </c>
      <c r="I1244" s="2">
        <f>INT(DATE($B$3,1,1) + (24+0.5)*365/50)</f>
        <v>0</v>
      </c>
      <c r="J1244" s="2">
        <f>I1244 - INT(ROUND($B$4 * 30.4375, 0) * (41+0.5)/50)</f>
        <v>0</v>
      </c>
      <c r="K1244" s="4">
        <f>VLOOKUP(J1244, '1_Rate_Changes'!$A$2:$C$100, 3, TRUE)</f>
        <v>0</v>
      </c>
    </row>
    <row r="1245" spans="7:11">
      <c r="G1245">
        <v>24</v>
      </c>
      <c r="H1245">
        <v>42</v>
      </c>
      <c r="I1245" s="2">
        <f>INT(DATE($B$3,1,1) + (24+0.5)*365/50)</f>
        <v>0</v>
      </c>
      <c r="J1245" s="2">
        <f>I1245 - INT(ROUND($B$4 * 30.4375, 0) * (42+0.5)/50)</f>
        <v>0</v>
      </c>
      <c r="K1245" s="4">
        <f>VLOOKUP(J1245, '1_Rate_Changes'!$A$2:$C$100, 3, TRUE)</f>
        <v>0</v>
      </c>
    </row>
    <row r="1246" spans="7:11">
      <c r="G1246">
        <v>24</v>
      </c>
      <c r="H1246">
        <v>43</v>
      </c>
      <c r="I1246" s="2">
        <f>INT(DATE($B$3,1,1) + (24+0.5)*365/50)</f>
        <v>0</v>
      </c>
      <c r="J1246" s="2">
        <f>I1246 - INT(ROUND($B$4 * 30.4375, 0) * (43+0.5)/50)</f>
        <v>0</v>
      </c>
      <c r="K1246" s="4">
        <f>VLOOKUP(J1246, '1_Rate_Changes'!$A$2:$C$100, 3, TRUE)</f>
        <v>0</v>
      </c>
    </row>
    <row r="1247" spans="7:11">
      <c r="G1247">
        <v>24</v>
      </c>
      <c r="H1247">
        <v>44</v>
      </c>
      <c r="I1247" s="2">
        <f>INT(DATE($B$3,1,1) + (24+0.5)*365/50)</f>
        <v>0</v>
      </c>
      <c r="J1247" s="2">
        <f>I1247 - INT(ROUND($B$4 * 30.4375, 0) * (44+0.5)/50)</f>
        <v>0</v>
      </c>
      <c r="K1247" s="4">
        <f>VLOOKUP(J1247, '1_Rate_Changes'!$A$2:$C$100, 3, TRUE)</f>
        <v>0</v>
      </c>
    </row>
    <row r="1248" spans="7:11">
      <c r="G1248">
        <v>24</v>
      </c>
      <c r="H1248">
        <v>45</v>
      </c>
      <c r="I1248" s="2">
        <f>INT(DATE($B$3,1,1) + (24+0.5)*365/50)</f>
        <v>0</v>
      </c>
      <c r="J1248" s="2">
        <f>I1248 - INT(ROUND($B$4 * 30.4375, 0) * (45+0.5)/50)</f>
        <v>0</v>
      </c>
      <c r="K1248" s="4">
        <f>VLOOKUP(J1248, '1_Rate_Changes'!$A$2:$C$100, 3, TRUE)</f>
        <v>0</v>
      </c>
    </row>
    <row r="1249" spans="7:11">
      <c r="G1249">
        <v>24</v>
      </c>
      <c r="H1249">
        <v>46</v>
      </c>
      <c r="I1249" s="2">
        <f>INT(DATE($B$3,1,1) + (24+0.5)*365/50)</f>
        <v>0</v>
      </c>
      <c r="J1249" s="2">
        <f>I1249 - INT(ROUND($B$4 * 30.4375, 0) * (46+0.5)/50)</f>
        <v>0</v>
      </c>
      <c r="K1249" s="4">
        <f>VLOOKUP(J1249, '1_Rate_Changes'!$A$2:$C$100, 3, TRUE)</f>
        <v>0</v>
      </c>
    </row>
    <row r="1250" spans="7:11">
      <c r="G1250">
        <v>24</v>
      </c>
      <c r="H1250">
        <v>47</v>
      </c>
      <c r="I1250" s="2">
        <f>INT(DATE($B$3,1,1) + (24+0.5)*365/50)</f>
        <v>0</v>
      </c>
      <c r="J1250" s="2">
        <f>I1250 - INT(ROUND($B$4 * 30.4375, 0) * (47+0.5)/50)</f>
        <v>0</v>
      </c>
      <c r="K1250" s="4">
        <f>VLOOKUP(J1250, '1_Rate_Changes'!$A$2:$C$100, 3, TRUE)</f>
        <v>0</v>
      </c>
    </row>
    <row r="1251" spans="7:11">
      <c r="G1251">
        <v>24</v>
      </c>
      <c r="H1251">
        <v>48</v>
      </c>
      <c r="I1251" s="2">
        <f>INT(DATE($B$3,1,1) + (24+0.5)*365/50)</f>
        <v>0</v>
      </c>
      <c r="J1251" s="2">
        <f>I1251 - INT(ROUND($B$4 * 30.4375, 0) * (48+0.5)/50)</f>
        <v>0</v>
      </c>
      <c r="K1251" s="4">
        <f>VLOOKUP(J1251, '1_Rate_Changes'!$A$2:$C$100, 3, TRUE)</f>
        <v>0</v>
      </c>
    </row>
    <row r="1252" spans="7:11">
      <c r="G1252">
        <v>24</v>
      </c>
      <c r="H1252">
        <v>49</v>
      </c>
      <c r="I1252" s="2">
        <f>INT(DATE($B$3,1,1) + (24+0.5)*365/50)</f>
        <v>0</v>
      </c>
      <c r="J1252" s="2">
        <f>I1252 - INT(ROUND($B$4 * 30.4375, 0) * (49+0.5)/50)</f>
        <v>0</v>
      </c>
      <c r="K1252" s="4">
        <f>VLOOKUP(J1252, '1_Rate_Changes'!$A$2:$C$100, 3, TRUE)</f>
        <v>0</v>
      </c>
    </row>
    <row r="1253" spans="7:11">
      <c r="G1253">
        <v>25</v>
      </c>
      <c r="H1253">
        <v>0</v>
      </c>
      <c r="I1253" s="2">
        <f>INT(DATE($B$3,1,1) + (25+0.5)*365/50)</f>
        <v>0</v>
      </c>
      <c r="J1253" s="2">
        <f>I1253 - INT(ROUND($B$4 * 30.4375, 0) * (0+0.5)/50)</f>
        <v>0</v>
      </c>
      <c r="K1253" s="4">
        <f>VLOOKUP(J1253, '1_Rate_Changes'!$A$2:$C$100, 3, TRUE)</f>
        <v>0</v>
      </c>
    </row>
    <row r="1254" spans="7:11">
      <c r="G1254">
        <v>25</v>
      </c>
      <c r="H1254">
        <v>1</v>
      </c>
      <c r="I1254" s="2">
        <f>INT(DATE($B$3,1,1) + (25+0.5)*365/50)</f>
        <v>0</v>
      </c>
      <c r="J1254" s="2">
        <f>I1254 - INT(ROUND($B$4 * 30.4375, 0) * (1+0.5)/50)</f>
        <v>0</v>
      </c>
      <c r="K1254" s="4">
        <f>VLOOKUP(J1254, '1_Rate_Changes'!$A$2:$C$100, 3, TRUE)</f>
        <v>0</v>
      </c>
    </row>
    <row r="1255" spans="7:11">
      <c r="G1255">
        <v>25</v>
      </c>
      <c r="H1255">
        <v>2</v>
      </c>
      <c r="I1255" s="2">
        <f>INT(DATE($B$3,1,1) + (25+0.5)*365/50)</f>
        <v>0</v>
      </c>
      <c r="J1255" s="2">
        <f>I1255 - INT(ROUND($B$4 * 30.4375, 0) * (2+0.5)/50)</f>
        <v>0</v>
      </c>
      <c r="K1255" s="4">
        <f>VLOOKUP(J1255, '1_Rate_Changes'!$A$2:$C$100, 3, TRUE)</f>
        <v>0</v>
      </c>
    </row>
    <row r="1256" spans="7:11">
      <c r="G1256">
        <v>25</v>
      </c>
      <c r="H1256">
        <v>3</v>
      </c>
      <c r="I1256" s="2">
        <f>INT(DATE($B$3,1,1) + (25+0.5)*365/50)</f>
        <v>0</v>
      </c>
      <c r="J1256" s="2">
        <f>I1256 - INT(ROUND($B$4 * 30.4375, 0) * (3+0.5)/50)</f>
        <v>0</v>
      </c>
      <c r="K1256" s="4">
        <f>VLOOKUP(J1256, '1_Rate_Changes'!$A$2:$C$100, 3, TRUE)</f>
        <v>0</v>
      </c>
    </row>
    <row r="1257" spans="7:11">
      <c r="G1257">
        <v>25</v>
      </c>
      <c r="H1257">
        <v>4</v>
      </c>
      <c r="I1257" s="2">
        <f>INT(DATE($B$3,1,1) + (25+0.5)*365/50)</f>
        <v>0</v>
      </c>
      <c r="J1257" s="2">
        <f>I1257 - INT(ROUND($B$4 * 30.4375, 0) * (4+0.5)/50)</f>
        <v>0</v>
      </c>
      <c r="K1257" s="4">
        <f>VLOOKUP(J1257, '1_Rate_Changes'!$A$2:$C$100, 3, TRUE)</f>
        <v>0</v>
      </c>
    </row>
    <row r="1258" spans="7:11">
      <c r="G1258">
        <v>25</v>
      </c>
      <c r="H1258">
        <v>5</v>
      </c>
      <c r="I1258" s="2">
        <f>INT(DATE($B$3,1,1) + (25+0.5)*365/50)</f>
        <v>0</v>
      </c>
      <c r="J1258" s="2">
        <f>I1258 - INT(ROUND($B$4 * 30.4375, 0) * (5+0.5)/50)</f>
        <v>0</v>
      </c>
      <c r="K1258" s="4">
        <f>VLOOKUP(J1258, '1_Rate_Changes'!$A$2:$C$100, 3, TRUE)</f>
        <v>0</v>
      </c>
    </row>
    <row r="1259" spans="7:11">
      <c r="G1259">
        <v>25</v>
      </c>
      <c r="H1259">
        <v>6</v>
      </c>
      <c r="I1259" s="2">
        <f>INT(DATE($B$3,1,1) + (25+0.5)*365/50)</f>
        <v>0</v>
      </c>
      <c r="J1259" s="2">
        <f>I1259 - INT(ROUND($B$4 * 30.4375, 0) * (6+0.5)/50)</f>
        <v>0</v>
      </c>
      <c r="K1259" s="4">
        <f>VLOOKUP(J1259, '1_Rate_Changes'!$A$2:$C$100, 3, TRUE)</f>
        <v>0</v>
      </c>
    </row>
    <row r="1260" spans="7:11">
      <c r="G1260">
        <v>25</v>
      </c>
      <c r="H1260">
        <v>7</v>
      </c>
      <c r="I1260" s="2">
        <f>INT(DATE($B$3,1,1) + (25+0.5)*365/50)</f>
        <v>0</v>
      </c>
      <c r="J1260" s="2">
        <f>I1260 - INT(ROUND($B$4 * 30.4375, 0) * (7+0.5)/50)</f>
        <v>0</v>
      </c>
      <c r="K1260" s="4">
        <f>VLOOKUP(J1260, '1_Rate_Changes'!$A$2:$C$100, 3, TRUE)</f>
        <v>0</v>
      </c>
    </row>
    <row r="1261" spans="7:11">
      <c r="G1261">
        <v>25</v>
      </c>
      <c r="H1261">
        <v>8</v>
      </c>
      <c r="I1261" s="2">
        <f>INT(DATE($B$3,1,1) + (25+0.5)*365/50)</f>
        <v>0</v>
      </c>
      <c r="J1261" s="2">
        <f>I1261 - INT(ROUND($B$4 * 30.4375, 0) * (8+0.5)/50)</f>
        <v>0</v>
      </c>
      <c r="K1261" s="4">
        <f>VLOOKUP(J1261, '1_Rate_Changes'!$A$2:$C$100, 3, TRUE)</f>
        <v>0</v>
      </c>
    </row>
    <row r="1262" spans="7:11">
      <c r="G1262">
        <v>25</v>
      </c>
      <c r="H1262">
        <v>9</v>
      </c>
      <c r="I1262" s="2">
        <f>INT(DATE($B$3,1,1) + (25+0.5)*365/50)</f>
        <v>0</v>
      </c>
      <c r="J1262" s="2">
        <f>I1262 - INT(ROUND($B$4 * 30.4375, 0) * (9+0.5)/50)</f>
        <v>0</v>
      </c>
      <c r="K1262" s="4">
        <f>VLOOKUP(J1262, '1_Rate_Changes'!$A$2:$C$100, 3, TRUE)</f>
        <v>0</v>
      </c>
    </row>
    <row r="1263" spans="7:11">
      <c r="G1263">
        <v>25</v>
      </c>
      <c r="H1263">
        <v>10</v>
      </c>
      <c r="I1263" s="2">
        <f>INT(DATE($B$3,1,1) + (25+0.5)*365/50)</f>
        <v>0</v>
      </c>
      <c r="J1263" s="2">
        <f>I1263 - INT(ROUND($B$4 * 30.4375, 0) * (10+0.5)/50)</f>
        <v>0</v>
      </c>
      <c r="K1263" s="4">
        <f>VLOOKUP(J1263, '1_Rate_Changes'!$A$2:$C$100, 3, TRUE)</f>
        <v>0</v>
      </c>
    </row>
    <row r="1264" spans="7:11">
      <c r="G1264">
        <v>25</v>
      </c>
      <c r="H1264">
        <v>11</v>
      </c>
      <c r="I1264" s="2">
        <f>INT(DATE($B$3,1,1) + (25+0.5)*365/50)</f>
        <v>0</v>
      </c>
      <c r="J1264" s="2">
        <f>I1264 - INT(ROUND($B$4 * 30.4375, 0) * (11+0.5)/50)</f>
        <v>0</v>
      </c>
      <c r="K1264" s="4">
        <f>VLOOKUP(J1264, '1_Rate_Changes'!$A$2:$C$100, 3, TRUE)</f>
        <v>0</v>
      </c>
    </row>
    <row r="1265" spans="7:11">
      <c r="G1265">
        <v>25</v>
      </c>
      <c r="H1265">
        <v>12</v>
      </c>
      <c r="I1265" s="2">
        <f>INT(DATE($B$3,1,1) + (25+0.5)*365/50)</f>
        <v>0</v>
      </c>
      <c r="J1265" s="2">
        <f>I1265 - INT(ROUND($B$4 * 30.4375, 0) * (12+0.5)/50)</f>
        <v>0</v>
      </c>
      <c r="K1265" s="4">
        <f>VLOOKUP(J1265, '1_Rate_Changes'!$A$2:$C$100, 3, TRUE)</f>
        <v>0</v>
      </c>
    </row>
    <row r="1266" spans="7:11">
      <c r="G1266">
        <v>25</v>
      </c>
      <c r="H1266">
        <v>13</v>
      </c>
      <c r="I1266" s="2">
        <f>INT(DATE($B$3,1,1) + (25+0.5)*365/50)</f>
        <v>0</v>
      </c>
      <c r="J1266" s="2">
        <f>I1266 - INT(ROUND($B$4 * 30.4375, 0) * (13+0.5)/50)</f>
        <v>0</v>
      </c>
      <c r="K1266" s="4">
        <f>VLOOKUP(J1266, '1_Rate_Changes'!$A$2:$C$100, 3, TRUE)</f>
        <v>0</v>
      </c>
    </row>
    <row r="1267" spans="7:11">
      <c r="G1267">
        <v>25</v>
      </c>
      <c r="H1267">
        <v>14</v>
      </c>
      <c r="I1267" s="2">
        <f>INT(DATE($B$3,1,1) + (25+0.5)*365/50)</f>
        <v>0</v>
      </c>
      <c r="J1267" s="2">
        <f>I1267 - INT(ROUND($B$4 * 30.4375, 0) * (14+0.5)/50)</f>
        <v>0</v>
      </c>
      <c r="K1267" s="4">
        <f>VLOOKUP(J1267, '1_Rate_Changes'!$A$2:$C$100, 3, TRUE)</f>
        <v>0</v>
      </c>
    </row>
    <row r="1268" spans="7:11">
      <c r="G1268">
        <v>25</v>
      </c>
      <c r="H1268">
        <v>15</v>
      </c>
      <c r="I1268" s="2">
        <f>INT(DATE($B$3,1,1) + (25+0.5)*365/50)</f>
        <v>0</v>
      </c>
      <c r="J1268" s="2">
        <f>I1268 - INT(ROUND($B$4 * 30.4375, 0) * (15+0.5)/50)</f>
        <v>0</v>
      </c>
      <c r="K1268" s="4">
        <f>VLOOKUP(J1268, '1_Rate_Changes'!$A$2:$C$100, 3, TRUE)</f>
        <v>0</v>
      </c>
    </row>
    <row r="1269" spans="7:11">
      <c r="G1269">
        <v>25</v>
      </c>
      <c r="H1269">
        <v>16</v>
      </c>
      <c r="I1269" s="2">
        <f>INT(DATE($B$3,1,1) + (25+0.5)*365/50)</f>
        <v>0</v>
      </c>
      <c r="J1269" s="2">
        <f>I1269 - INT(ROUND($B$4 * 30.4375, 0) * (16+0.5)/50)</f>
        <v>0</v>
      </c>
      <c r="K1269" s="4">
        <f>VLOOKUP(J1269, '1_Rate_Changes'!$A$2:$C$100, 3, TRUE)</f>
        <v>0</v>
      </c>
    </row>
    <row r="1270" spans="7:11">
      <c r="G1270">
        <v>25</v>
      </c>
      <c r="H1270">
        <v>17</v>
      </c>
      <c r="I1270" s="2">
        <f>INT(DATE($B$3,1,1) + (25+0.5)*365/50)</f>
        <v>0</v>
      </c>
      <c r="J1270" s="2">
        <f>I1270 - INT(ROUND($B$4 * 30.4375, 0) * (17+0.5)/50)</f>
        <v>0</v>
      </c>
      <c r="K1270" s="4">
        <f>VLOOKUP(J1270, '1_Rate_Changes'!$A$2:$C$100, 3, TRUE)</f>
        <v>0</v>
      </c>
    </row>
    <row r="1271" spans="7:11">
      <c r="G1271">
        <v>25</v>
      </c>
      <c r="H1271">
        <v>18</v>
      </c>
      <c r="I1271" s="2">
        <f>INT(DATE($B$3,1,1) + (25+0.5)*365/50)</f>
        <v>0</v>
      </c>
      <c r="J1271" s="2">
        <f>I1271 - INT(ROUND($B$4 * 30.4375, 0) * (18+0.5)/50)</f>
        <v>0</v>
      </c>
      <c r="K1271" s="4">
        <f>VLOOKUP(J1271, '1_Rate_Changes'!$A$2:$C$100, 3, TRUE)</f>
        <v>0</v>
      </c>
    </row>
    <row r="1272" spans="7:11">
      <c r="G1272">
        <v>25</v>
      </c>
      <c r="H1272">
        <v>19</v>
      </c>
      <c r="I1272" s="2">
        <f>INT(DATE($B$3,1,1) + (25+0.5)*365/50)</f>
        <v>0</v>
      </c>
      <c r="J1272" s="2">
        <f>I1272 - INT(ROUND($B$4 * 30.4375, 0) * (19+0.5)/50)</f>
        <v>0</v>
      </c>
      <c r="K1272" s="4">
        <f>VLOOKUP(J1272, '1_Rate_Changes'!$A$2:$C$100, 3, TRUE)</f>
        <v>0</v>
      </c>
    </row>
    <row r="1273" spans="7:11">
      <c r="G1273">
        <v>25</v>
      </c>
      <c r="H1273">
        <v>20</v>
      </c>
      <c r="I1273" s="2">
        <f>INT(DATE($B$3,1,1) + (25+0.5)*365/50)</f>
        <v>0</v>
      </c>
      <c r="J1273" s="2">
        <f>I1273 - INT(ROUND($B$4 * 30.4375, 0) * (20+0.5)/50)</f>
        <v>0</v>
      </c>
      <c r="K1273" s="4">
        <f>VLOOKUP(J1273, '1_Rate_Changes'!$A$2:$C$100, 3, TRUE)</f>
        <v>0</v>
      </c>
    </row>
    <row r="1274" spans="7:11">
      <c r="G1274">
        <v>25</v>
      </c>
      <c r="H1274">
        <v>21</v>
      </c>
      <c r="I1274" s="2">
        <f>INT(DATE($B$3,1,1) + (25+0.5)*365/50)</f>
        <v>0</v>
      </c>
      <c r="J1274" s="2">
        <f>I1274 - INT(ROUND($B$4 * 30.4375, 0) * (21+0.5)/50)</f>
        <v>0</v>
      </c>
      <c r="K1274" s="4">
        <f>VLOOKUP(J1274, '1_Rate_Changes'!$A$2:$C$100, 3, TRUE)</f>
        <v>0</v>
      </c>
    </row>
    <row r="1275" spans="7:11">
      <c r="G1275">
        <v>25</v>
      </c>
      <c r="H1275">
        <v>22</v>
      </c>
      <c r="I1275" s="2">
        <f>INT(DATE($B$3,1,1) + (25+0.5)*365/50)</f>
        <v>0</v>
      </c>
      <c r="J1275" s="2">
        <f>I1275 - INT(ROUND($B$4 * 30.4375, 0) * (22+0.5)/50)</f>
        <v>0</v>
      </c>
      <c r="K1275" s="4">
        <f>VLOOKUP(J1275, '1_Rate_Changes'!$A$2:$C$100, 3, TRUE)</f>
        <v>0</v>
      </c>
    </row>
    <row r="1276" spans="7:11">
      <c r="G1276">
        <v>25</v>
      </c>
      <c r="H1276">
        <v>23</v>
      </c>
      <c r="I1276" s="2">
        <f>INT(DATE($B$3,1,1) + (25+0.5)*365/50)</f>
        <v>0</v>
      </c>
      <c r="J1276" s="2">
        <f>I1276 - INT(ROUND($B$4 * 30.4375, 0) * (23+0.5)/50)</f>
        <v>0</v>
      </c>
      <c r="K1276" s="4">
        <f>VLOOKUP(J1276, '1_Rate_Changes'!$A$2:$C$100, 3, TRUE)</f>
        <v>0</v>
      </c>
    </row>
    <row r="1277" spans="7:11">
      <c r="G1277">
        <v>25</v>
      </c>
      <c r="H1277">
        <v>24</v>
      </c>
      <c r="I1277" s="2">
        <f>INT(DATE($B$3,1,1) + (25+0.5)*365/50)</f>
        <v>0</v>
      </c>
      <c r="J1277" s="2">
        <f>I1277 - INT(ROUND($B$4 * 30.4375, 0) * (24+0.5)/50)</f>
        <v>0</v>
      </c>
      <c r="K1277" s="4">
        <f>VLOOKUP(J1277, '1_Rate_Changes'!$A$2:$C$100, 3, TRUE)</f>
        <v>0</v>
      </c>
    </row>
    <row r="1278" spans="7:11">
      <c r="G1278">
        <v>25</v>
      </c>
      <c r="H1278">
        <v>25</v>
      </c>
      <c r="I1278" s="2">
        <f>INT(DATE($B$3,1,1) + (25+0.5)*365/50)</f>
        <v>0</v>
      </c>
      <c r="J1278" s="2">
        <f>I1278 - INT(ROUND($B$4 * 30.4375, 0) * (25+0.5)/50)</f>
        <v>0</v>
      </c>
      <c r="K1278" s="4">
        <f>VLOOKUP(J1278, '1_Rate_Changes'!$A$2:$C$100, 3, TRUE)</f>
        <v>0</v>
      </c>
    </row>
    <row r="1279" spans="7:11">
      <c r="G1279">
        <v>25</v>
      </c>
      <c r="H1279">
        <v>26</v>
      </c>
      <c r="I1279" s="2">
        <f>INT(DATE($B$3,1,1) + (25+0.5)*365/50)</f>
        <v>0</v>
      </c>
      <c r="J1279" s="2">
        <f>I1279 - INT(ROUND($B$4 * 30.4375, 0) * (26+0.5)/50)</f>
        <v>0</v>
      </c>
      <c r="K1279" s="4">
        <f>VLOOKUP(J1279, '1_Rate_Changes'!$A$2:$C$100, 3, TRUE)</f>
        <v>0</v>
      </c>
    </row>
    <row r="1280" spans="7:11">
      <c r="G1280">
        <v>25</v>
      </c>
      <c r="H1280">
        <v>27</v>
      </c>
      <c r="I1280" s="2">
        <f>INT(DATE($B$3,1,1) + (25+0.5)*365/50)</f>
        <v>0</v>
      </c>
      <c r="J1280" s="2">
        <f>I1280 - INT(ROUND($B$4 * 30.4375, 0) * (27+0.5)/50)</f>
        <v>0</v>
      </c>
      <c r="K1280" s="4">
        <f>VLOOKUP(J1280, '1_Rate_Changes'!$A$2:$C$100, 3, TRUE)</f>
        <v>0</v>
      </c>
    </row>
    <row r="1281" spans="7:11">
      <c r="G1281">
        <v>25</v>
      </c>
      <c r="H1281">
        <v>28</v>
      </c>
      <c r="I1281" s="2">
        <f>INT(DATE($B$3,1,1) + (25+0.5)*365/50)</f>
        <v>0</v>
      </c>
      <c r="J1281" s="2">
        <f>I1281 - INT(ROUND($B$4 * 30.4375, 0) * (28+0.5)/50)</f>
        <v>0</v>
      </c>
      <c r="K1281" s="4">
        <f>VLOOKUP(J1281, '1_Rate_Changes'!$A$2:$C$100, 3, TRUE)</f>
        <v>0</v>
      </c>
    </row>
    <row r="1282" spans="7:11">
      <c r="G1282">
        <v>25</v>
      </c>
      <c r="H1282">
        <v>29</v>
      </c>
      <c r="I1282" s="2">
        <f>INT(DATE($B$3,1,1) + (25+0.5)*365/50)</f>
        <v>0</v>
      </c>
      <c r="J1282" s="2">
        <f>I1282 - INT(ROUND($B$4 * 30.4375, 0) * (29+0.5)/50)</f>
        <v>0</v>
      </c>
      <c r="K1282" s="4">
        <f>VLOOKUP(J1282, '1_Rate_Changes'!$A$2:$C$100, 3, TRUE)</f>
        <v>0</v>
      </c>
    </row>
    <row r="1283" spans="7:11">
      <c r="G1283">
        <v>25</v>
      </c>
      <c r="H1283">
        <v>30</v>
      </c>
      <c r="I1283" s="2">
        <f>INT(DATE($B$3,1,1) + (25+0.5)*365/50)</f>
        <v>0</v>
      </c>
      <c r="J1283" s="2">
        <f>I1283 - INT(ROUND($B$4 * 30.4375, 0) * (30+0.5)/50)</f>
        <v>0</v>
      </c>
      <c r="K1283" s="4">
        <f>VLOOKUP(J1283, '1_Rate_Changes'!$A$2:$C$100, 3, TRUE)</f>
        <v>0</v>
      </c>
    </row>
    <row r="1284" spans="7:11">
      <c r="G1284">
        <v>25</v>
      </c>
      <c r="H1284">
        <v>31</v>
      </c>
      <c r="I1284" s="2">
        <f>INT(DATE($B$3,1,1) + (25+0.5)*365/50)</f>
        <v>0</v>
      </c>
      <c r="J1284" s="2">
        <f>I1284 - INT(ROUND($B$4 * 30.4375, 0) * (31+0.5)/50)</f>
        <v>0</v>
      </c>
      <c r="K1284" s="4">
        <f>VLOOKUP(J1284, '1_Rate_Changes'!$A$2:$C$100, 3, TRUE)</f>
        <v>0</v>
      </c>
    </row>
    <row r="1285" spans="7:11">
      <c r="G1285">
        <v>25</v>
      </c>
      <c r="H1285">
        <v>32</v>
      </c>
      <c r="I1285" s="2">
        <f>INT(DATE($B$3,1,1) + (25+0.5)*365/50)</f>
        <v>0</v>
      </c>
      <c r="J1285" s="2">
        <f>I1285 - INT(ROUND($B$4 * 30.4375, 0) * (32+0.5)/50)</f>
        <v>0</v>
      </c>
      <c r="K1285" s="4">
        <f>VLOOKUP(J1285, '1_Rate_Changes'!$A$2:$C$100, 3, TRUE)</f>
        <v>0</v>
      </c>
    </row>
    <row r="1286" spans="7:11">
      <c r="G1286">
        <v>25</v>
      </c>
      <c r="H1286">
        <v>33</v>
      </c>
      <c r="I1286" s="2">
        <f>INT(DATE($B$3,1,1) + (25+0.5)*365/50)</f>
        <v>0</v>
      </c>
      <c r="J1286" s="2">
        <f>I1286 - INT(ROUND($B$4 * 30.4375, 0) * (33+0.5)/50)</f>
        <v>0</v>
      </c>
      <c r="K1286" s="4">
        <f>VLOOKUP(J1286, '1_Rate_Changes'!$A$2:$C$100, 3, TRUE)</f>
        <v>0</v>
      </c>
    </row>
    <row r="1287" spans="7:11">
      <c r="G1287">
        <v>25</v>
      </c>
      <c r="H1287">
        <v>34</v>
      </c>
      <c r="I1287" s="2">
        <f>INT(DATE($B$3,1,1) + (25+0.5)*365/50)</f>
        <v>0</v>
      </c>
      <c r="J1287" s="2">
        <f>I1287 - INT(ROUND($B$4 * 30.4375, 0) * (34+0.5)/50)</f>
        <v>0</v>
      </c>
      <c r="K1287" s="4">
        <f>VLOOKUP(J1287, '1_Rate_Changes'!$A$2:$C$100, 3, TRUE)</f>
        <v>0</v>
      </c>
    </row>
    <row r="1288" spans="7:11">
      <c r="G1288">
        <v>25</v>
      </c>
      <c r="H1288">
        <v>35</v>
      </c>
      <c r="I1288" s="2">
        <f>INT(DATE($B$3,1,1) + (25+0.5)*365/50)</f>
        <v>0</v>
      </c>
      <c r="J1288" s="2">
        <f>I1288 - INT(ROUND($B$4 * 30.4375, 0) * (35+0.5)/50)</f>
        <v>0</v>
      </c>
      <c r="K1288" s="4">
        <f>VLOOKUP(J1288, '1_Rate_Changes'!$A$2:$C$100, 3, TRUE)</f>
        <v>0</v>
      </c>
    </row>
    <row r="1289" spans="7:11">
      <c r="G1289">
        <v>25</v>
      </c>
      <c r="H1289">
        <v>36</v>
      </c>
      <c r="I1289" s="2">
        <f>INT(DATE($B$3,1,1) + (25+0.5)*365/50)</f>
        <v>0</v>
      </c>
      <c r="J1289" s="2">
        <f>I1289 - INT(ROUND($B$4 * 30.4375, 0) * (36+0.5)/50)</f>
        <v>0</v>
      </c>
      <c r="K1289" s="4">
        <f>VLOOKUP(J1289, '1_Rate_Changes'!$A$2:$C$100, 3, TRUE)</f>
        <v>0</v>
      </c>
    </row>
    <row r="1290" spans="7:11">
      <c r="G1290">
        <v>25</v>
      </c>
      <c r="H1290">
        <v>37</v>
      </c>
      <c r="I1290" s="2">
        <f>INT(DATE($B$3,1,1) + (25+0.5)*365/50)</f>
        <v>0</v>
      </c>
      <c r="J1290" s="2">
        <f>I1290 - INT(ROUND($B$4 * 30.4375, 0) * (37+0.5)/50)</f>
        <v>0</v>
      </c>
      <c r="K1290" s="4">
        <f>VLOOKUP(J1290, '1_Rate_Changes'!$A$2:$C$100, 3, TRUE)</f>
        <v>0</v>
      </c>
    </row>
    <row r="1291" spans="7:11">
      <c r="G1291">
        <v>25</v>
      </c>
      <c r="H1291">
        <v>38</v>
      </c>
      <c r="I1291" s="2">
        <f>INT(DATE($B$3,1,1) + (25+0.5)*365/50)</f>
        <v>0</v>
      </c>
      <c r="J1291" s="2">
        <f>I1291 - INT(ROUND($B$4 * 30.4375, 0) * (38+0.5)/50)</f>
        <v>0</v>
      </c>
      <c r="K1291" s="4">
        <f>VLOOKUP(J1291, '1_Rate_Changes'!$A$2:$C$100, 3, TRUE)</f>
        <v>0</v>
      </c>
    </row>
    <row r="1292" spans="7:11">
      <c r="G1292">
        <v>25</v>
      </c>
      <c r="H1292">
        <v>39</v>
      </c>
      <c r="I1292" s="2">
        <f>INT(DATE($B$3,1,1) + (25+0.5)*365/50)</f>
        <v>0</v>
      </c>
      <c r="J1292" s="2">
        <f>I1292 - INT(ROUND($B$4 * 30.4375, 0) * (39+0.5)/50)</f>
        <v>0</v>
      </c>
      <c r="K1292" s="4">
        <f>VLOOKUP(J1292, '1_Rate_Changes'!$A$2:$C$100, 3, TRUE)</f>
        <v>0</v>
      </c>
    </row>
    <row r="1293" spans="7:11">
      <c r="G1293">
        <v>25</v>
      </c>
      <c r="H1293">
        <v>40</v>
      </c>
      <c r="I1293" s="2">
        <f>INT(DATE($B$3,1,1) + (25+0.5)*365/50)</f>
        <v>0</v>
      </c>
      <c r="J1293" s="2">
        <f>I1293 - INT(ROUND($B$4 * 30.4375, 0) * (40+0.5)/50)</f>
        <v>0</v>
      </c>
      <c r="K1293" s="4">
        <f>VLOOKUP(J1293, '1_Rate_Changes'!$A$2:$C$100, 3, TRUE)</f>
        <v>0</v>
      </c>
    </row>
    <row r="1294" spans="7:11">
      <c r="G1294">
        <v>25</v>
      </c>
      <c r="H1294">
        <v>41</v>
      </c>
      <c r="I1294" s="2">
        <f>INT(DATE($B$3,1,1) + (25+0.5)*365/50)</f>
        <v>0</v>
      </c>
      <c r="J1294" s="2">
        <f>I1294 - INT(ROUND($B$4 * 30.4375, 0) * (41+0.5)/50)</f>
        <v>0</v>
      </c>
      <c r="K1294" s="4">
        <f>VLOOKUP(J1294, '1_Rate_Changes'!$A$2:$C$100, 3, TRUE)</f>
        <v>0</v>
      </c>
    </row>
    <row r="1295" spans="7:11">
      <c r="G1295">
        <v>25</v>
      </c>
      <c r="H1295">
        <v>42</v>
      </c>
      <c r="I1295" s="2">
        <f>INT(DATE($B$3,1,1) + (25+0.5)*365/50)</f>
        <v>0</v>
      </c>
      <c r="J1295" s="2">
        <f>I1295 - INT(ROUND($B$4 * 30.4375, 0) * (42+0.5)/50)</f>
        <v>0</v>
      </c>
      <c r="K1295" s="4">
        <f>VLOOKUP(J1295, '1_Rate_Changes'!$A$2:$C$100, 3, TRUE)</f>
        <v>0</v>
      </c>
    </row>
    <row r="1296" spans="7:11">
      <c r="G1296">
        <v>25</v>
      </c>
      <c r="H1296">
        <v>43</v>
      </c>
      <c r="I1296" s="2">
        <f>INT(DATE($B$3,1,1) + (25+0.5)*365/50)</f>
        <v>0</v>
      </c>
      <c r="J1296" s="2">
        <f>I1296 - INT(ROUND($B$4 * 30.4375, 0) * (43+0.5)/50)</f>
        <v>0</v>
      </c>
      <c r="K1296" s="4">
        <f>VLOOKUP(J1296, '1_Rate_Changes'!$A$2:$C$100, 3, TRUE)</f>
        <v>0</v>
      </c>
    </row>
    <row r="1297" spans="7:11">
      <c r="G1297">
        <v>25</v>
      </c>
      <c r="H1297">
        <v>44</v>
      </c>
      <c r="I1297" s="2">
        <f>INT(DATE($B$3,1,1) + (25+0.5)*365/50)</f>
        <v>0</v>
      </c>
      <c r="J1297" s="2">
        <f>I1297 - INT(ROUND($B$4 * 30.4375, 0) * (44+0.5)/50)</f>
        <v>0</v>
      </c>
      <c r="K1297" s="4">
        <f>VLOOKUP(J1297, '1_Rate_Changes'!$A$2:$C$100, 3, TRUE)</f>
        <v>0</v>
      </c>
    </row>
    <row r="1298" spans="7:11">
      <c r="G1298">
        <v>25</v>
      </c>
      <c r="H1298">
        <v>45</v>
      </c>
      <c r="I1298" s="2">
        <f>INT(DATE($B$3,1,1) + (25+0.5)*365/50)</f>
        <v>0</v>
      </c>
      <c r="J1298" s="2">
        <f>I1298 - INT(ROUND($B$4 * 30.4375, 0) * (45+0.5)/50)</f>
        <v>0</v>
      </c>
      <c r="K1298" s="4">
        <f>VLOOKUP(J1298, '1_Rate_Changes'!$A$2:$C$100, 3, TRUE)</f>
        <v>0</v>
      </c>
    </row>
    <row r="1299" spans="7:11">
      <c r="G1299">
        <v>25</v>
      </c>
      <c r="H1299">
        <v>46</v>
      </c>
      <c r="I1299" s="2">
        <f>INT(DATE($B$3,1,1) + (25+0.5)*365/50)</f>
        <v>0</v>
      </c>
      <c r="J1299" s="2">
        <f>I1299 - INT(ROUND($B$4 * 30.4375, 0) * (46+0.5)/50)</f>
        <v>0</v>
      </c>
      <c r="K1299" s="4">
        <f>VLOOKUP(J1299, '1_Rate_Changes'!$A$2:$C$100, 3, TRUE)</f>
        <v>0</v>
      </c>
    </row>
    <row r="1300" spans="7:11">
      <c r="G1300">
        <v>25</v>
      </c>
      <c r="H1300">
        <v>47</v>
      </c>
      <c r="I1300" s="2">
        <f>INT(DATE($B$3,1,1) + (25+0.5)*365/50)</f>
        <v>0</v>
      </c>
      <c r="J1300" s="2">
        <f>I1300 - INT(ROUND($B$4 * 30.4375, 0) * (47+0.5)/50)</f>
        <v>0</v>
      </c>
      <c r="K1300" s="4">
        <f>VLOOKUP(J1300, '1_Rate_Changes'!$A$2:$C$100, 3, TRUE)</f>
        <v>0</v>
      </c>
    </row>
    <row r="1301" spans="7:11">
      <c r="G1301">
        <v>25</v>
      </c>
      <c r="H1301">
        <v>48</v>
      </c>
      <c r="I1301" s="2">
        <f>INT(DATE($B$3,1,1) + (25+0.5)*365/50)</f>
        <v>0</v>
      </c>
      <c r="J1301" s="2">
        <f>I1301 - INT(ROUND($B$4 * 30.4375, 0) * (48+0.5)/50)</f>
        <v>0</v>
      </c>
      <c r="K1301" s="4">
        <f>VLOOKUP(J1301, '1_Rate_Changes'!$A$2:$C$100, 3, TRUE)</f>
        <v>0</v>
      </c>
    </row>
    <row r="1302" spans="7:11">
      <c r="G1302">
        <v>25</v>
      </c>
      <c r="H1302">
        <v>49</v>
      </c>
      <c r="I1302" s="2">
        <f>INT(DATE($B$3,1,1) + (25+0.5)*365/50)</f>
        <v>0</v>
      </c>
      <c r="J1302" s="2">
        <f>I1302 - INT(ROUND($B$4 * 30.4375, 0) * (49+0.5)/50)</f>
        <v>0</v>
      </c>
      <c r="K1302" s="4">
        <f>VLOOKUP(J1302, '1_Rate_Changes'!$A$2:$C$100, 3, TRUE)</f>
        <v>0</v>
      </c>
    </row>
    <row r="1303" spans="7:11">
      <c r="G1303">
        <v>26</v>
      </c>
      <c r="H1303">
        <v>0</v>
      </c>
      <c r="I1303" s="2">
        <f>INT(DATE($B$3,1,1) + (26+0.5)*365/50)</f>
        <v>0</v>
      </c>
      <c r="J1303" s="2">
        <f>I1303 - INT(ROUND($B$4 * 30.4375, 0) * (0+0.5)/50)</f>
        <v>0</v>
      </c>
      <c r="K1303" s="4">
        <f>VLOOKUP(J1303, '1_Rate_Changes'!$A$2:$C$100, 3, TRUE)</f>
        <v>0</v>
      </c>
    </row>
    <row r="1304" spans="7:11">
      <c r="G1304">
        <v>26</v>
      </c>
      <c r="H1304">
        <v>1</v>
      </c>
      <c r="I1304" s="2">
        <f>INT(DATE($B$3,1,1) + (26+0.5)*365/50)</f>
        <v>0</v>
      </c>
      <c r="J1304" s="2">
        <f>I1304 - INT(ROUND($B$4 * 30.4375, 0) * (1+0.5)/50)</f>
        <v>0</v>
      </c>
      <c r="K1304" s="4">
        <f>VLOOKUP(J1304, '1_Rate_Changes'!$A$2:$C$100, 3, TRUE)</f>
        <v>0</v>
      </c>
    </row>
    <row r="1305" spans="7:11">
      <c r="G1305">
        <v>26</v>
      </c>
      <c r="H1305">
        <v>2</v>
      </c>
      <c r="I1305" s="2">
        <f>INT(DATE($B$3,1,1) + (26+0.5)*365/50)</f>
        <v>0</v>
      </c>
      <c r="J1305" s="2">
        <f>I1305 - INT(ROUND($B$4 * 30.4375, 0) * (2+0.5)/50)</f>
        <v>0</v>
      </c>
      <c r="K1305" s="4">
        <f>VLOOKUP(J1305, '1_Rate_Changes'!$A$2:$C$100, 3, TRUE)</f>
        <v>0</v>
      </c>
    </row>
    <row r="1306" spans="7:11">
      <c r="G1306">
        <v>26</v>
      </c>
      <c r="H1306">
        <v>3</v>
      </c>
      <c r="I1306" s="2">
        <f>INT(DATE($B$3,1,1) + (26+0.5)*365/50)</f>
        <v>0</v>
      </c>
      <c r="J1306" s="2">
        <f>I1306 - INT(ROUND($B$4 * 30.4375, 0) * (3+0.5)/50)</f>
        <v>0</v>
      </c>
      <c r="K1306" s="4">
        <f>VLOOKUP(J1306, '1_Rate_Changes'!$A$2:$C$100, 3, TRUE)</f>
        <v>0</v>
      </c>
    </row>
    <row r="1307" spans="7:11">
      <c r="G1307">
        <v>26</v>
      </c>
      <c r="H1307">
        <v>4</v>
      </c>
      <c r="I1307" s="2">
        <f>INT(DATE($B$3,1,1) + (26+0.5)*365/50)</f>
        <v>0</v>
      </c>
      <c r="J1307" s="2">
        <f>I1307 - INT(ROUND($B$4 * 30.4375, 0) * (4+0.5)/50)</f>
        <v>0</v>
      </c>
      <c r="K1307" s="4">
        <f>VLOOKUP(J1307, '1_Rate_Changes'!$A$2:$C$100, 3, TRUE)</f>
        <v>0</v>
      </c>
    </row>
    <row r="1308" spans="7:11">
      <c r="G1308">
        <v>26</v>
      </c>
      <c r="H1308">
        <v>5</v>
      </c>
      <c r="I1308" s="2">
        <f>INT(DATE($B$3,1,1) + (26+0.5)*365/50)</f>
        <v>0</v>
      </c>
      <c r="J1308" s="2">
        <f>I1308 - INT(ROUND($B$4 * 30.4375, 0) * (5+0.5)/50)</f>
        <v>0</v>
      </c>
      <c r="K1308" s="4">
        <f>VLOOKUP(J1308, '1_Rate_Changes'!$A$2:$C$100, 3, TRUE)</f>
        <v>0</v>
      </c>
    </row>
    <row r="1309" spans="7:11">
      <c r="G1309">
        <v>26</v>
      </c>
      <c r="H1309">
        <v>6</v>
      </c>
      <c r="I1309" s="2">
        <f>INT(DATE($B$3,1,1) + (26+0.5)*365/50)</f>
        <v>0</v>
      </c>
      <c r="J1309" s="2">
        <f>I1309 - INT(ROUND($B$4 * 30.4375, 0) * (6+0.5)/50)</f>
        <v>0</v>
      </c>
      <c r="K1309" s="4">
        <f>VLOOKUP(J1309, '1_Rate_Changes'!$A$2:$C$100, 3, TRUE)</f>
        <v>0</v>
      </c>
    </row>
    <row r="1310" spans="7:11">
      <c r="G1310">
        <v>26</v>
      </c>
      <c r="H1310">
        <v>7</v>
      </c>
      <c r="I1310" s="2">
        <f>INT(DATE($B$3,1,1) + (26+0.5)*365/50)</f>
        <v>0</v>
      </c>
      <c r="J1310" s="2">
        <f>I1310 - INT(ROUND($B$4 * 30.4375, 0) * (7+0.5)/50)</f>
        <v>0</v>
      </c>
      <c r="K1310" s="4">
        <f>VLOOKUP(J1310, '1_Rate_Changes'!$A$2:$C$100, 3, TRUE)</f>
        <v>0</v>
      </c>
    </row>
    <row r="1311" spans="7:11">
      <c r="G1311">
        <v>26</v>
      </c>
      <c r="H1311">
        <v>8</v>
      </c>
      <c r="I1311" s="2">
        <f>INT(DATE($B$3,1,1) + (26+0.5)*365/50)</f>
        <v>0</v>
      </c>
      <c r="J1311" s="2">
        <f>I1311 - INT(ROUND($B$4 * 30.4375, 0) * (8+0.5)/50)</f>
        <v>0</v>
      </c>
      <c r="K1311" s="4">
        <f>VLOOKUP(J1311, '1_Rate_Changes'!$A$2:$C$100, 3, TRUE)</f>
        <v>0</v>
      </c>
    </row>
    <row r="1312" spans="7:11">
      <c r="G1312">
        <v>26</v>
      </c>
      <c r="H1312">
        <v>9</v>
      </c>
      <c r="I1312" s="2">
        <f>INT(DATE($B$3,1,1) + (26+0.5)*365/50)</f>
        <v>0</v>
      </c>
      <c r="J1312" s="2">
        <f>I1312 - INT(ROUND($B$4 * 30.4375, 0) * (9+0.5)/50)</f>
        <v>0</v>
      </c>
      <c r="K1312" s="4">
        <f>VLOOKUP(J1312, '1_Rate_Changes'!$A$2:$C$100, 3, TRUE)</f>
        <v>0</v>
      </c>
    </row>
    <row r="1313" spans="7:11">
      <c r="G1313">
        <v>26</v>
      </c>
      <c r="H1313">
        <v>10</v>
      </c>
      <c r="I1313" s="2">
        <f>INT(DATE($B$3,1,1) + (26+0.5)*365/50)</f>
        <v>0</v>
      </c>
      <c r="J1313" s="2">
        <f>I1313 - INT(ROUND($B$4 * 30.4375, 0) * (10+0.5)/50)</f>
        <v>0</v>
      </c>
      <c r="K1313" s="4">
        <f>VLOOKUP(J1313, '1_Rate_Changes'!$A$2:$C$100, 3, TRUE)</f>
        <v>0</v>
      </c>
    </row>
    <row r="1314" spans="7:11">
      <c r="G1314">
        <v>26</v>
      </c>
      <c r="H1314">
        <v>11</v>
      </c>
      <c r="I1314" s="2">
        <f>INT(DATE($B$3,1,1) + (26+0.5)*365/50)</f>
        <v>0</v>
      </c>
      <c r="J1314" s="2">
        <f>I1314 - INT(ROUND($B$4 * 30.4375, 0) * (11+0.5)/50)</f>
        <v>0</v>
      </c>
      <c r="K1314" s="4">
        <f>VLOOKUP(J1314, '1_Rate_Changes'!$A$2:$C$100, 3, TRUE)</f>
        <v>0</v>
      </c>
    </row>
    <row r="1315" spans="7:11">
      <c r="G1315">
        <v>26</v>
      </c>
      <c r="H1315">
        <v>12</v>
      </c>
      <c r="I1315" s="2">
        <f>INT(DATE($B$3,1,1) + (26+0.5)*365/50)</f>
        <v>0</v>
      </c>
      <c r="J1315" s="2">
        <f>I1315 - INT(ROUND($B$4 * 30.4375, 0) * (12+0.5)/50)</f>
        <v>0</v>
      </c>
      <c r="K1315" s="4">
        <f>VLOOKUP(J1315, '1_Rate_Changes'!$A$2:$C$100, 3, TRUE)</f>
        <v>0</v>
      </c>
    </row>
    <row r="1316" spans="7:11">
      <c r="G1316">
        <v>26</v>
      </c>
      <c r="H1316">
        <v>13</v>
      </c>
      <c r="I1316" s="2">
        <f>INT(DATE($B$3,1,1) + (26+0.5)*365/50)</f>
        <v>0</v>
      </c>
      <c r="J1316" s="2">
        <f>I1316 - INT(ROUND($B$4 * 30.4375, 0) * (13+0.5)/50)</f>
        <v>0</v>
      </c>
      <c r="K1316" s="4">
        <f>VLOOKUP(J1316, '1_Rate_Changes'!$A$2:$C$100, 3, TRUE)</f>
        <v>0</v>
      </c>
    </row>
    <row r="1317" spans="7:11">
      <c r="G1317">
        <v>26</v>
      </c>
      <c r="H1317">
        <v>14</v>
      </c>
      <c r="I1317" s="2">
        <f>INT(DATE($B$3,1,1) + (26+0.5)*365/50)</f>
        <v>0</v>
      </c>
      <c r="J1317" s="2">
        <f>I1317 - INT(ROUND($B$4 * 30.4375, 0) * (14+0.5)/50)</f>
        <v>0</v>
      </c>
      <c r="K1317" s="4">
        <f>VLOOKUP(J1317, '1_Rate_Changes'!$A$2:$C$100, 3, TRUE)</f>
        <v>0</v>
      </c>
    </row>
    <row r="1318" spans="7:11">
      <c r="G1318">
        <v>26</v>
      </c>
      <c r="H1318">
        <v>15</v>
      </c>
      <c r="I1318" s="2">
        <f>INT(DATE($B$3,1,1) + (26+0.5)*365/50)</f>
        <v>0</v>
      </c>
      <c r="J1318" s="2">
        <f>I1318 - INT(ROUND($B$4 * 30.4375, 0) * (15+0.5)/50)</f>
        <v>0</v>
      </c>
      <c r="K1318" s="4">
        <f>VLOOKUP(J1318, '1_Rate_Changes'!$A$2:$C$100, 3, TRUE)</f>
        <v>0</v>
      </c>
    </row>
    <row r="1319" spans="7:11">
      <c r="G1319">
        <v>26</v>
      </c>
      <c r="H1319">
        <v>16</v>
      </c>
      <c r="I1319" s="2">
        <f>INT(DATE($B$3,1,1) + (26+0.5)*365/50)</f>
        <v>0</v>
      </c>
      <c r="J1319" s="2">
        <f>I1319 - INT(ROUND($B$4 * 30.4375, 0) * (16+0.5)/50)</f>
        <v>0</v>
      </c>
      <c r="K1319" s="4">
        <f>VLOOKUP(J1319, '1_Rate_Changes'!$A$2:$C$100, 3, TRUE)</f>
        <v>0</v>
      </c>
    </row>
    <row r="1320" spans="7:11">
      <c r="G1320">
        <v>26</v>
      </c>
      <c r="H1320">
        <v>17</v>
      </c>
      <c r="I1320" s="2">
        <f>INT(DATE($B$3,1,1) + (26+0.5)*365/50)</f>
        <v>0</v>
      </c>
      <c r="J1320" s="2">
        <f>I1320 - INT(ROUND($B$4 * 30.4375, 0) * (17+0.5)/50)</f>
        <v>0</v>
      </c>
      <c r="K1320" s="4">
        <f>VLOOKUP(J1320, '1_Rate_Changes'!$A$2:$C$100, 3, TRUE)</f>
        <v>0</v>
      </c>
    </row>
    <row r="1321" spans="7:11">
      <c r="G1321">
        <v>26</v>
      </c>
      <c r="H1321">
        <v>18</v>
      </c>
      <c r="I1321" s="2">
        <f>INT(DATE($B$3,1,1) + (26+0.5)*365/50)</f>
        <v>0</v>
      </c>
      <c r="J1321" s="2">
        <f>I1321 - INT(ROUND($B$4 * 30.4375, 0) * (18+0.5)/50)</f>
        <v>0</v>
      </c>
      <c r="K1321" s="4">
        <f>VLOOKUP(J1321, '1_Rate_Changes'!$A$2:$C$100, 3, TRUE)</f>
        <v>0</v>
      </c>
    </row>
    <row r="1322" spans="7:11">
      <c r="G1322">
        <v>26</v>
      </c>
      <c r="H1322">
        <v>19</v>
      </c>
      <c r="I1322" s="2">
        <f>INT(DATE($B$3,1,1) + (26+0.5)*365/50)</f>
        <v>0</v>
      </c>
      <c r="J1322" s="2">
        <f>I1322 - INT(ROUND($B$4 * 30.4375, 0) * (19+0.5)/50)</f>
        <v>0</v>
      </c>
      <c r="K1322" s="4">
        <f>VLOOKUP(J1322, '1_Rate_Changes'!$A$2:$C$100, 3, TRUE)</f>
        <v>0</v>
      </c>
    </row>
    <row r="1323" spans="7:11">
      <c r="G1323">
        <v>26</v>
      </c>
      <c r="H1323">
        <v>20</v>
      </c>
      <c r="I1323" s="2">
        <f>INT(DATE($B$3,1,1) + (26+0.5)*365/50)</f>
        <v>0</v>
      </c>
      <c r="J1323" s="2">
        <f>I1323 - INT(ROUND($B$4 * 30.4375, 0) * (20+0.5)/50)</f>
        <v>0</v>
      </c>
      <c r="K1323" s="4">
        <f>VLOOKUP(J1323, '1_Rate_Changes'!$A$2:$C$100, 3, TRUE)</f>
        <v>0</v>
      </c>
    </row>
    <row r="1324" spans="7:11">
      <c r="G1324">
        <v>26</v>
      </c>
      <c r="H1324">
        <v>21</v>
      </c>
      <c r="I1324" s="2">
        <f>INT(DATE($B$3,1,1) + (26+0.5)*365/50)</f>
        <v>0</v>
      </c>
      <c r="J1324" s="2">
        <f>I1324 - INT(ROUND($B$4 * 30.4375, 0) * (21+0.5)/50)</f>
        <v>0</v>
      </c>
      <c r="K1324" s="4">
        <f>VLOOKUP(J1324, '1_Rate_Changes'!$A$2:$C$100, 3, TRUE)</f>
        <v>0</v>
      </c>
    </row>
    <row r="1325" spans="7:11">
      <c r="G1325">
        <v>26</v>
      </c>
      <c r="H1325">
        <v>22</v>
      </c>
      <c r="I1325" s="2">
        <f>INT(DATE($B$3,1,1) + (26+0.5)*365/50)</f>
        <v>0</v>
      </c>
      <c r="J1325" s="2">
        <f>I1325 - INT(ROUND($B$4 * 30.4375, 0) * (22+0.5)/50)</f>
        <v>0</v>
      </c>
      <c r="K1325" s="4">
        <f>VLOOKUP(J1325, '1_Rate_Changes'!$A$2:$C$100, 3, TRUE)</f>
        <v>0</v>
      </c>
    </row>
    <row r="1326" spans="7:11">
      <c r="G1326">
        <v>26</v>
      </c>
      <c r="H1326">
        <v>23</v>
      </c>
      <c r="I1326" s="2">
        <f>INT(DATE($B$3,1,1) + (26+0.5)*365/50)</f>
        <v>0</v>
      </c>
      <c r="J1326" s="2">
        <f>I1326 - INT(ROUND($B$4 * 30.4375, 0) * (23+0.5)/50)</f>
        <v>0</v>
      </c>
      <c r="K1326" s="4">
        <f>VLOOKUP(J1326, '1_Rate_Changes'!$A$2:$C$100, 3, TRUE)</f>
        <v>0</v>
      </c>
    </row>
    <row r="1327" spans="7:11">
      <c r="G1327">
        <v>26</v>
      </c>
      <c r="H1327">
        <v>24</v>
      </c>
      <c r="I1327" s="2">
        <f>INT(DATE($B$3,1,1) + (26+0.5)*365/50)</f>
        <v>0</v>
      </c>
      <c r="J1327" s="2">
        <f>I1327 - INT(ROUND($B$4 * 30.4375, 0) * (24+0.5)/50)</f>
        <v>0</v>
      </c>
      <c r="K1327" s="4">
        <f>VLOOKUP(J1327, '1_Rate_Changes'!$A$2:$C$100, 3, TRUE)</f>
        <v>0</v>
      </c>
    </row>
    <row r="1328" spans="7:11">
      <c r="G1328">
        <v>26</v>
      </c>
      <c r="H1328">
        <v>25</v>
      </c>
      <c r="I1328" s="2">
        <f>INT(DATE($B$3,1,1) + (26+0.5)*365/50)</f>
        <v>0</v>
      </c>
      <c r="J1328" s="2">
        <f>I1328 - INT(ROUND($B$4 * 30.4375, 0) * (25+0.5)/50)</f>
        <v>0</v>
      </c>
      <c r="K1328" s="4">
        <f>VLOOKUP(J1328, '1_Rate_Changes'!$A$2:$C$100, 3, TRUE)</f>
        <v>0</v>
      </c>
    </row>
    <row r="1329" spans="7:11">
      <c r="G1329">
        <v>26</v>
      </c>
      <c r="H1329">
        <v>26</v>
      </c>
      <c r="I1329" s="2">
        <f>INT(DATE($B$3,1,1) + (26+0.5)*365/50)</f>
        <v>0</v>
      </c>
      <c r="J1329" s="2">
        <f>I1329 - INT(ROUND($B$4 * 30.4375, 0) * (26+0.5)/50)</f>
        <v>0</v>
      </c>
      <c r="K1329" s="4">
        <f>VLOOKUP(J1329, '1_Rate_Changes'!$A$2:$C$100, 3, TRUE)</f>
        <v>0</v>
      </c>
    </row>
    <row r="1330" spans="7:11">
      <c r="G1330">
        <v>26</v>
      </c>
      <c r="H1330">
        <v>27</v>
      </c>
      <c r="I1330" s="2">
        <f>INT(DATE($B$3,1,1) + (26+0.5)*365/50)</f>
        <v>0</v>
      </c>
      <c r="J1330" s="2">
        <f>I1330 - INT(ROUND($B$4 * 30.4375, 0) * (27+0.5)/50)</f>
        <v>0</v>
      </c>
      <c r="K1330" s="4">
        <f>VLOOKUP(J1330, '1_Rate_Changes'!$A$2:$C$100, 3, TRUE)</f>
        <v>0</v>
      </c>
    </row>
    <row r="1331" spans="7:11">
      <c r="G1331">
        <v>26</v>
      </c>
      <c r="H1331">
        <v>28</v>
      </c>
      <c r="I1331" s="2">
        <f>INT(DATE($B$3,1,1) + (26+0.5)*365/50)</f>
        <v>0</v>
      </c>
      <c r="J1331" s="2">
        <f>I1331 - INT(ROUND($B$4 * 30.4375, 0) * (28+0.5)/50)</f>
        <v>0</v>
      </c>
      <c r="K1331" s="4">
        <f>VLOOKUP(J1331, '1_Rate_Changes'!$A$2:$C$100, 3, TRUE)</f>
        <v>0</v>
      </c>
    </row>
    <row r="1332" spans="7:11">
      <c r="G1332">
        <v>26</v>
      </c>
      <c r="H1332">
        <v>29</v>
      </c>
      <c r="I1332" s="2">
        <f>INT(DATE($B$3,1,1) + (26+0.5)*365/50)</f>
        <v>0</v>
      </c>
      <c r="J1332" s="2">
        <f>I1332 - INT(ROUND($B$4 * 30.4375, 0) * (29+0.5)/50)</f>
        <v>0</v>
      </c>
      <c r="K1332" s="4">
        <f>VLOOKUP(J1332, '1_Rate_Changes'!$A$2:$C$100, 3, TRUE)</f>
        <v>0</v>
      </c>
    </row>
    <row r="1333" spans="7:11">
      <c r="G1333">
        <v>26</v>
      </c>
      <c r="H1333">
        <v>30</v>
      </c>
      <c r="I1333" s="2">
        <f>INT(DATE($B$3,1,1) + (26+0.5)*365/50)</f>
        <v>0</v>
      </c>
      <c r="J1333" s="2">
        <f>I1333 - INT(ROUND($B$4 * 30.4375, 0) * (30+0.5)/50)</f>
        <v>0</v>
      </c>
      <c r="K1333" s="4">
        <f>VLOOKUP(J1333, '1_Rate_Changes'!$A$2:$C$100, 3, TRUE)</f>
        <v>0</v>
      </c>
    </row>
    <row r="1334" spans="7:11">
      <c r="G1334">
        <v>26</v>
      </c>
      <c r="H1334">
        <v>31</v>
      </c>
      <c r="I1334" s="2">
        <f>INT(DATE($B$3,1,1) + (26+0.5)*365/50)</f>
        <v>0</v>
      </c>
      <c r="J1334" s="2">
        <f>I1334 - INT(ROUND($B$4 * 30.4375, 0) * (31+0.5)/50)</f>
        <v>0</v>
      </c>
      <c r="K1334" s="4">
        <f>VLOOKUP(J1334, '1_Rate_Changes'!$A$2:$C$100, 3, TRUE)</f>
        <v>0</v>
      </c>
    </row>
    <row r="1335" spans="7:11">
      <c r="G1335">
        <v>26</v>
      </c>
      <c r="H1335">
        <v>32</v>
      </c>
      <c r="I1335" s="2">
        <f>INT(DATE($B$3,1,1) + (26+0.5)*365/50)</f>
        <v>0</v>
      </c>
      <c r="J1335" s="2">
        <f>I1335 - INT(ROUND($B$4 * 30.4375, 0) * (32+0.5)/50)</f>
        <v>0</v>
      </c>
      <c r="K1335" s="4">
        <f>VLOOKUP(J1335, '1_Rate_Changes'!$A$2:$C$100, 3, TRUE)</f>
        <v>0</v>
      </c>
    </row>
    <row r="1336" spans="7:11">
      <c r="G1336">
        <v>26</v>
      </c>
      <c r="H1336">
        <v>33</v>
      </c>
      <c r="I1336" s="2">
        <f>INT(DATE($B$3,1,1) + (26+0.5)*365/50)</f>
        <v>0</v>
      </c>
      <c r="J1336" s="2">
        <f>I1336 - INT(ROUND($B$4 * 30.4375, 0) * (33+0.5)/50)</f>
        <v>0</v>
      </c>
      <c r="K1336" s="4">
        <f>VLOOKUP(J1336, '1_Rate_Changes'!$A$2:$C$100, 3, TRUE)</f>
        <v>0</v>
      </c>
    </row>
    <row r="1337" spans="7:11">
      <c r="G1337">
        <v>26</v>
      </c>
      <c r="H1337">
        <v>34</v>
      </c>
      <c r="I1337" s="2">
        <f>INT(DATE($B$3,1,1) + (26+0.5)*365/50)</f>
        <v>0</v>
      </c>
      <c r="J1337" s="2">
        <f>I1337 - INT(ROUND($B$4 * 30.4375, 0) * (34+0.5)/50)</f>
        <v>0</v>
      </c>
      <c r="K1337" s="4">
        <f>VLOOKUP(J1337, '1_Rate_Changes'!$A$2:$C$100, 3, TRUE)</f>
        <v>0</v>
      </c>
    </row>
    <row r="1338" spans="7:11">
      <c r="G1338">
        <v>26</v>
      </c>
      <c r="H1338">
        <v>35</v>
      </c>
      <c r="I1338" s="2">
        <f>INT(DATE($B$3,1,1) + (26+0.5)*365/50)</f>
        <v>0</v>
      </c>
      <c r="J1338" s="2">
        <f>I1338 - INT(ROUND($B$4 * 30.4375, 0) * (35+0.5)/50)</f>
        <v>0</v>
      </c>
      <c r="K1338" s="4">
        <f>VLOOKUP(J1338, '1_Rate_Changes'!$A$2:$C$100, 3, TRUE)</f>
        <v>0</v>
      </c>
    </row>
    <row r="1339" spans="7:11">
      <c r="G1339">
        <v>26</v>
      </c>
      <c r="H1339">
        <v>36</v>
      </c>
      <c r="I1339" s="2">
        <f>INT(DATE($B$3,1,1) + (26+0.5)*365/50)</f>
        <v>0</v>
      </c>
      <c r="J1339" s="2">
        <f>I1339 - INT(ROUND($B$4 * 30.4375, 0) * (36+0.5)/50)</f>
        <v>0</v>
      </c>
      <c r="K1339" s="4">
        <f>VLOOKUP(J1339, '1_Rate_Changes'!$A$2:$C$100, 3, TRUE)</f>
        <v>0</v>
      </c>
    </row>
    <row r="1340" spans="7:11">
      <c r="G1340">
        <v>26</v>
      </c>
      <c r="H1340">
        <v>37</v>
      </c>
      <c r="I1340" s="2">
        <f>INT(DATE($B$3,1,1) + (26+0.5)*365/50)</f>
        <v>0</v>
      </c>
      <c r="J1340" s="2">
        <f>I1340 - INT(ROUND($B$4 * 30.4375, 0) * (37+0.5)/50)</f>
        <v>0</v>
      </c>
      <c r="K1340" s="4">
        <f>VLOOKUP(J1340, '1_Rate_Changes'!$A$2:$C$100, 3, TRUE)</f>
        <v>0</v>
      </c>
    </row>
    <row r="1341" spans="7:11">
      <c r="G1341">
        <v>26</v>
      </c>
      <c r="H1341">
        <v>38</v>
      </c>
      <c r="I1341" s="2">
        <f>INT(DATE($B$3,1,1) + (26+0.5)*365/50)</f>
        <v>0</v>
      </c>
      <c r="J1341" s="2">
        <f>I1341 - INT(ROUND($B$4 * 30.4375, 0) * (38+0.5)/50)</f>
        <v>0</v>
      </c>
      <c r="K1341" s="4">
        <f>VLOOKUP(J1341, '1_Rate_Changes'!$A$2:$C$100, 3, TRUE)</f>
        <v>0</v>
      </c>
    </row>
    <row r="1342" spans="7:11">
      <c r="G1342">
        <v>26</v>
      </c>
      <c r="H1342">
        <v>39</v>
      </c>
      <c r="I1342" s="2">
        <f>INT(DATE($B$3,1,1) + (26+0.5)*365/50)</f>
        <v>0</v>
      </c>
      <c r="J1342" s="2">
        <f>I1342 - INT(ROUND($B$4 * 30.4375, 0) * (39+0.5)/50)</f>
        <v>0</v>
      </c>
      <c r="K1342" s="4">
        <f>VLOOKUP(J1342, '1_Rate_Changes'!$A$2:$C$100, 3, TRUE)</f>
        <v>0</v>
      </c>
    </row>
    <row r="1343" spans="7:11">
      <c r="G1343">
        <v>26</v>
      </c>
      <c r="H1343">
        <v>40</v>
      </c>
      <c r="I1343" s="2">
        <f>INT(DATE($B$3,1,1) + (26+0.5)*365/50)</f>
        <v>0</v>
      </c>
      <c r="J1343" s="2">
        <f>I1343 - INT(ROUND($B$4 * 30.4375, 0) * (40+0.5)/50)</f>
        <v>0</v>
      </c>
      <c r="K1343" s="4">
        <f>VLOOKUP(J1343, '1_Rate_Changes'!$A$2:$C$100, 3, TRUE)</f>
        <v>0</v>
      </c>
    </row>
    <row r="1344" spans="7:11">
      <c r="G1344">
        <v>26</v>
      </c>
      <c r="H1344">
        <v>41</v>
      </c>
      <c r="I1344" s="2">
        <f>INT(DATE($B$3,1,1) + (26+0.5)*365/50)</f>
        <v>0</v>
      </c>
      <c r="J1344" s="2">
        <f>I1344 - INT(ROUND($B$4 * 30.4375, 0) * (41+0.5)/50)</f>
        <v>0</v>
      </c>
      <c r="K1344" s="4">
        <f>VLOOKUP(J1344, '1_Rate_Changes'!$A$2:$C$100, 3, TRUE)</f>
        <v>0</v>
      </c>
    </row>
    <row r="1345" spans="7:11">
      <c r="G1345">
        <v>26</v>
      </c>
      <c r="H1345">
        <v>42</v>
      </c>
      <c r="I1345" s="2">
        <f>INT(DATE($B$3,1,1) + (26+0.5)*365/50)</f>
        <v>0</v>
      </c>
      <c r="J1345" s="2">
        <f>I1345 - INT(ROUND($B$4 * 30.4375, 0) * (42+0.5)/50)</f>
        <v>0</v>
      </c>
      <c r="K1345" s="4">
        <f>VLOOKUP(J1345, '1_Rate_Changes'!$A$2:$C$100, 3, TRUE)</f>
        <v>0</v>
      </c>
    </row>
    <row r="1346" spans="7:11">
      <c r="G1346">
        <v>26</v>
      </c>
      <c r="H1346">
        <v>43</v>
      </c>
      <c r="I1346" s="2">
        <f>INT(DATE($B$3,1,1) + (26+0.5)*365/50)</f>
        <v>0</v>
      </c>
      <c r="J1346" s="2">
        <f>I1346 - INT(ROUND($B$4 * 30.4375, 0) * (43+0.5)/50)</f>
        <v>0</v>
      </c>
      <c r="K1346" s="4">
        <f>VLOOKUP(J1346, '1_Rate_Changes'!$A$2:$C$100, 3, TRUE)</f>
        <v>0</v>
      </c>
    </row>
    <row r="1347" spans="7:11">
      <c r="G1347">
        <v>26</v>
      </c>
      <c r="H1347">
        <v>44</v>
      </c>
      <c r="I1347" s="2">
        <f>INT(DATE($B$3,1,1) + (26+0.5)*365/50)</f>
        <v>0</v>
      </c>
      <c r="J1347" s="2">
        <f>I1347 - INT(ROUND($B$4 * 30.4375, 0) * (44+0.5)/50)</f>
        <v>0</v>
      </c>
      <c r="K1347" s="4">
        <f>VLOOKUP(J1347, '1_Rate_Changes'!$A$2:$C$100, 3, TRUE)</f>
        <v>0</v>
      </c>
    </row>
    <row r="1348" spans="7:11">
      <c r="G1348">
        <v>26</v>
      </c>
      <c r="H1348">
        <v>45</v>
      </c>
      <c r="I1348" s="2">
        <f>INT(DATE($B$3,1,1) + (26+0.5)*365/50)</f>
        <v>0</v>
      </c>
      <c r="J1348" s="2">
        <f>I1348 - INT(ROUND($B$4 * 30.4375, 0) * (45+0.5)/50)</f>
        <v>0</v>
      </c>
      <c r="K1348" s="4">
        <f>VLOOKUP(J1348, '1_Rate_Changes'!$A$2:$C$100, 3, TRUE)</f>
        <v>0</v>
      </c>
    </row>
    <row r="1349" spans="7:11">
      <c r="G1349">
        <v>26</v>
      </c>
      <c r="H1349">
        <v>46</v>
      </c>
      <c r="I1349" s="2">
        <f>INT(DATE($B$3,1,1) + (26+0.5)*365/50)</f>
        <v>0</v>
      </c>
      <c r="J1349" s="2">
        <f>I1349 - INT(ROUND($B$4 * 30.4375, 0) * (46+0.5)/50)</f>
        <v>0</v>
      </c>
      <c r="K1349" s="4">
        <f>VLOOKUP(J1349, '1_Rate_Changes'!$A$2:$C$100, 3, TRUE)</f>
        <v>0</v>
      </c>
    </row>
    <row r="1350" spans="7:11">
      <c r="G1350">
        <v>26</v>
      </c>
      <c r="H1350">
        <v>47</v>
      </c>
      <c r="I1350" s="2">
        <f>INT(DATE($B$3,1,1) + (26+0.5)*365/50)</f>
        <v>0</v>
      </c>
      <c r="J1350" s="2">
        <f>I1350 - INT(ROUND($B$4 * 30.4375, 0) * (47+0.5)/50)</f>
        <v>0</v>
      </c>
      <c r="K1350" s="4">
        <f>VLOOKUP(J1350, '1_Rate_Changes'!$A$2:$C$100, 3, TRUE)</f>
        <v>0</v>
      </c>
    </row>
    <row r="1351" spans="7:11">
      <c r="G1351">
        <v>26</v>
      </c>
      <c r="H1351">
        <v>48</v>
      </c>
      <c r="I1351" s="2">
        <f>INT(DATE($B$3,1,1) + (26+0.5)*365/50)</f>
        <v>0</v>
      </c>
      <c r="J1351" s="2">
        <f>I1351 - INT(ROUND($B$4 * 30.4375, 0) * (48+0.5)/50)</f>
        <v>0</v>
      </c>
      <c r="K1351" s="4">
        <f>VLOOKUP(J1351, '1_Rate_Changes'!$A$2:$C$100, 3, TRUE)</f>
        <v>0</v>
      </c>
    </row>
    <row r="1352" spans="7:11">
      <c r="G1352">
        <v>26</v>
      </c>
      <c r="H1352">
        <v>49</v>
      </c>
      <c r="I1352" s="2">
        <f>INT(DATE($B$3,1,1) + (26+0.5)*365/50)</f>
        <v>0</v>
      </c>
      <c r="J1352" s="2">
        <f>I1352 - INT(ROUND($B$4 * 30.4375, 0) * (49+0.5)/50)</f>
        <v>0</v>
      </c>
      <c r="K1352" s="4">
        <f>VLOOKUP(J1352, '1_Rate_Changes'!$A$2:$C$100, 3, TRUE)</f>
        <v>0</v>
      </c>
    </row>
    <row r="1353" spans="7:11">
      <c r="G1353">
        <v>27</v>
      </c>
      <c r="H1353">
        <v>0</v>
      </c>
      <c r="I1353" s="2">
        <f>INT(DATE($B$3,1,1) + (27+0.5)*365/50)</f>
        <v>0</v>
      </c>
      <c r="J1353" s="2">
        <f>I1353 - INT(ROUND($B$4 * 30.4375, 0) * (0+0.5)/50)</f>
        <v>0</v>
      </c>
      <c r="K1353" s="4">
        <f>VLOOKUP(J1353, '1_Rate_Changes'!$A$2:$C$100, 3, TRUE)</f>
        <v>0</v>
      </c>
    </row>
    <row r="1354" spans="7:11">
      <c r="G1354">
        <v>27</v>
      </c>
      <c r="H1354">
        <v>1</v>
      </c>
      <c r="I1354" s="2">
        <f>INT(DATE($B$3,1,1) + (27+0.5)*365/50)</f>
        <v>0</v>
      </c>
      <c r="J1354" s="2">
        <f>I1354 - INT(ROUND($B$4 * 30.4375, 0) * (1+0.5)/50)</f>
        <v>0</v>
      </c>
      <c r="K1354" s="4">
        <f>VLOOKUP(J1354, '1_Rate_Changes'!$A$2:$C$100, 3, TRUE)</f>
        <v>0</v>
      </c>
    </row>
    <row r="1355" spans="7:11">
      <c r="G1355">
        <v>27</v>
      </c>
      <c r="H1355">
        <v>2</v>
      </c>
      <c r="I1355" s="2">
        <f>INT(DATE($B$3,1,1) + (27+0.5)*365/50)</f>
        <v>0</v>
      </c>
      <c r="J1355" s="2">
        <f>I1355 - INT(ROUND($B$4 * 30.4375, 0) * (2+0.5)/50)</f>
        <v>0</v>
      </c>
      <c r="K1355" s="4">
        <f>VLOOKUP(J1355, '1_Rate_Changes'!$A$2:$C$100, 3, TRUE)</f>
        <v>0</v>
      </c>
    </row>
    <row r="1356" spans="7:11">
      <c r="G1356">
        <v>27</v>
      </c>
      <c r="H1356">
        <v>3</v>
      </c>
      <c r="I1356" s="2">
        <f>INT(DATE($B$3,1,1) + (27+0.5)*365/50)</f>
        <v>0</v>
      </c>
      <c r="J1356" s="2">
        <f>I1356 - INT(ROUND($B$4 * 30.4375, 0) * (3+0.5)/50)</f>
        <v>0</v>
      </c>
      <c r="K1356" s="4">
        <f>VLOOKUP(J1356, '1_Rate_Changes'!$A$2:$C$100, 3, TRUE)</f>
        <v>0</v>
      </c>
    </row>
    <row r="1357" spans="7:11">
      <c r="G1357">
        <v>27</v>
      </c>
      <c r="H1357">
        <v>4</v>
      </c>
      <c r="I1357" s="2">
        <f>INT(DATE($B$3,1,1) + (27+0.5)*365/50)</f>
        <v>0</v>
      </c>
      <c r="J1357" s="2">
        <f>I1357 - INT(ROUND($B$4 * 30.4375, 0) * (4+0.5)/50)</f>
        <v>0</v>
      </c>
      <c r="K1357" s="4">
        <f>VLOOKUP(J1357, '1_Rate_Changes'!$A$2:$C$100, 3, TRUE)</f>
        <v>0</v>
      </c>
    </row>
    <row r="1358" spans="7:11">
      <c r="G1358">
        <v>27</v>
      </c>
      <c r="H1358">
        <v>5</v>
      </c>
      <c r="I1358" s="2">
        <f>INT(DATE($B$3,1,1) + (27+0.5)*365/50)</f>
        <v>0</v>
      </c>
      <c r="J1358" s="2">
        <f>I1358 - INT(ROUND($B$4 * 30.4375, 0) * (5+0.5)/50)</f>
        <v>0</v>
      </c>
      <c r="K1358" s="4">
        <f>VLOOKUP(J1358, '1_Rate_Changes'!$A$2:$C$100, 3, TRUE)</f>
        <v>0</v>
      </c>
    </row>
    <row r="1359" spans="7:11">
      <c r="G1359">
        <v>27</v>
      </c>
      <c r="H1359">
        <v>6</v>
      </c>
      <c r="I1359" s="2">
        <f>INT(DATE($B$3,1,1) + (27+0.5)*365/50)</f>
        <v>0</v>
      </c>
      <c r="J1359" s="2">
        <f>I1359 - INT(ROUND($B$4 * 30.4375, 0) * (6+0.5)/50)</f>
        <v>0</v>
      </c>
      <c r="K1359" s="4">
        <f>VLOOKUP(J1359, '1_Rate_Changes'!$A$2:$C$100, 3, TRUE)</f>
        <v>0</v>
      </c>
    </row>
    <row r="1360" spans="7:11">
      <c r="G1360">
        <v>27</v>
      </c>
      <c r="H1360">
        <v>7</v>
      </c>
      <c r="I1360" s="2">
        <f>INT(DATE($B$3,1,1) + (27+0.5)*365/50)</f>
        <v>0</v>
      </c>
      <c r="J1360" s="2">
        <f>I1360 - INT(ROUND($B$4 * 30.4375, 0) * (7+0.5)/50)</f>
        <v>0</v>
      </c>
      <c r="K1360" s="4">
        <f>VLOOKUP(J1360, '1_Rate_Changes'!$A$2:$C$100, 3, TRUE)</f>
        <v>0</v>
      </c>
    </row>
    <row r="1361" spans="7:11">
      <c r="G1361">
        <v>27</v>
      </c>
      <c r="H1361">
        <v>8</v>
      </c>
      <c r="I1361" s="2">
        <f>INT(DATE($B$3,1,1) + (27+0.5)*365/50)</f>
        <v>0</v>
      </c>
      <c r="J1361" s="2">
        <f>I1361 - INT(ROUND($B$4 * 30.4375, 0) * (8+0.5)/50)</f>
        <v>0</v>
      </c>
      <c r="K1361" s="4">
        <f>VLOOKUP(J1361, '1_Rate_Changes'!$A$2:$C$100, 3, TRUE)</f>
        <v>0</v>
      </c>
    </row>
    <row r="1362" spans="7:11">
      <c r="G1362">
        <v>27</v>
      </c>
      <c r="H1362">
        <v>9</v>
      </c>
      <c r="I1362" s="2">
        <f>INT(DATE($B$3,1,1) + (27+0.5)*365/50)</f>
        <v>0</v>
      </c>
      <c r="J1362" s="2">
        <f>I1362 - INT(ROUND($B$4 * 30.4375, 0) * (9+0.5)/50)</f>
        <v>0</v>
      </c>
      <c r="K1362" s="4">
        <f>VLOOKUP(J1362, '1_Rate_Changes'!$A$2:$C$100, 3, TRUE)</f>
        <v>0</v>
      </c>
    </row>
    <row r="1363" spans="7:11">
      <c r="G1363">
        <v>27</v>
      </c>
      <c r="H1363">
        <v>10</v>
      </c>
      <c r="I1363" s="2">
        <f>INT(DATE($B$3,1,1) + (27+0.5)*365/50)</f>
        <v>0</v>
      </c>
      <c r="J1363" s="2">
        <f>I1363 - INT(ROUND($B$4 * 30.4375, 0) * (10+0.5)/50)</f>
        <v>0</v>
      </c>
      <c r="K1363" s="4">
        <f>VLOOKUP(J1363, '1_Rate_Changes'!$A$2:$C$100, 3, TRUE)</f>
        <v>0</v>
      </c>
    </row>
    <row r="1364" spans="7:11">
      <c r="G1364">
        <v>27</v>
      </c>
      <c r="H1364">
        <v>11</v>
      </c>
      <c r="I1364" s="2">
        <f>INT(DATE($B$3,1,1) + (27+0.5)*365/50)</f>
        <v>0</v>
      </c>
      <c r="J1364" s="2">
        <f>I1364 - INT(ROUND($B$4 * 30.4375, 0) * (11+0.5)/50)</f>
        <v>0</v>
      </c>
      <c r="K1364" s="4">
        <f>VLOOKUP(J1364, '1_Rate_Changes'!$A$2:$C$100, 3, TRUE)</f>
        <v>0</v>
      </c>
    </row>
    <row r="1365" spans="7:11">
      <c r="G1365">
        <v>27</v>
      </c>
      <c r="H1365">
        <v>12</v>
      </c>
      <c r="I1365" s="2">
        <f>INT(DATE($B$3,1,1) + (27+0.5)*365/50)</f>
        <v>0</v>
      </c>
      <c r="J1365" s="2">
        <f>I1365 - INT(ROUND($B$4 * 30.4375, 0) * (12+0.5)/50)</f>
        <v>0</v>
      </c>
      <c r="K1365" s="4">
        <f>VLOOKUP(J1365, '1_Rate_Changes'!$A$2:$C$100, 3, TRUE)</f>
        <v>0</v>
      </c>
    </row>
    <row r="1366" spans="7:11">
      <c r="G1366">
        <v>27</v>
      </c>
      <c r="H1366">
        <v>13</v>
      </c>
      <c r="I1366" s="2">
        <f>INT(DATE($B$3,1,1) + (27+0.5)*365/50)</f>
        <v>0</v>
      </c>
      <c r="J1366" s="2">
        <f>I1366 - INT(ROUND($B$4 * 30.4375, 0) * (13+0.5)/50)</f>
        <v>0</v>
      </c>
      <c r="K1366" s="4">
        <f>VLOOKUP(J1366, '1_Rate_Changes'!$A$2:$C$100, 3, TRUE)</f>
        <v>0</v>
      </c>
    </row>
    <row r="1367" spans="7:11">
      <c r="G1367">
        <v>27</v>
      </c>
      <c r="H1367">
        <v>14</v>
      </c>
      <c r="I1367" s="2">
        <f>INT(DATE($B$3,1,1) + (27+0.5)*365/50)</f>
        <v>0</v>
      </c>
      <c r="J1367" s="2">
        <f>I1367 - INT(ROUND($B$4 * 30.4375, 0) * (14+0.5)/50)</f>
        <v>0</v>
      </c>
      <c r="K1367" s="4">
        <f>VLOOKUP(J1367, '1_Rate_Changes'!$A$2:$C$100, 3, TRUE)</f>
        <v>0</v>
      </c>
    </row>
    <row r="1368" spans="7:11">
      <c r="G1368">
        <v>27</v>
      </c>
      <c r="H1368">
        <v>15</v>
      </c>
      <c r="I1368" s="2">
        <f>INT(DATE($B$3,1,1) + (27+0.5)*365/50)</f>
        <v>0</v>
      </c>
      <c r="J1368" s="2">
        <f>I1368 - INT(ROUND($B$4 * 30.4375, 0) * (15+0.5)/50)</f>
        <v>0</v>
      </c>
      <c r="K1368" s="4">
        <f>VLOOKUP(J1368, '1_Rate_Changes'!$A$2:$C$100, 3, TRUE)</f>
        <v>0</v>
      </c>
    </row>
    <row r="1369" spans="7:11">
      <c r="G1369">
        <v>27</v>
      </c>
      <c r="H1369">
        <v>16</v>
      </c>
      <c r="I1369" s="2">
        <f>INT(DATE($B$3,1,1) + (27+0.5)*365/50)</f>
        <v>0</v>
      </c>
      <c r="J1369" s="2">
        <f>I1369 - INT(ROUND($B$4 * 30.4375, 0) * (16+0.5)/50)</f>
        <v>0</v>
      </c>
      <c r="K1369" s="4">
        <f>VLOOKUP(J1369, '1_Rate_Changes'!$A$2:$C$100, 3, TRUE)</f>
        <v>0</v>
      </c>
    </row>
    <row r="1370" spans="7:11">
      <c r="G1370">
        <v>27</v>
      </c>
      <c r="H1370">
        <v>17</v>
      </c>
      <c r="I1370" s="2">
        <f>INT(DATE($B$3,1,1) + (27+0.5)*365/50)</f>
        <v>0</v>
      </c>
      <c r="J1370" s="2">
        <f>I1370 - INT(ROUND($B$4 * 30.4375, 0) * (17+0.5)/50)</f>
        <v>0</v>
      </c>
      <c r="K1370" s="4">
        <f>VLOOKUP(J1370, '1_Rate_Changes'!$A$2:$C$100, 3, TRUE)</f>
        <v>0</v>
      </c>
    </row>
    <row r="1371" spans="7:11">
      <c r="G1371">
        <v>27</v>
      </c>
      <c r="H1371">
        <v>18</v>
      </c>
      <c r="I1371" s="2">
        <f>INT(DATE($B$3,1,1) + (27+0.5)*365/50)</f>
        <v>0</v>
      </c>
      <c r="J1371" s="2">
        <f>I1371 - INT(ROUND($B$4 * 30.4375, 0) * (18+0.5)/50)</f>
        <v>0</v>
      </c>
      <c r="K1371" s="4">
        <f>VLOOKUP(J1371, '1_Rate_Changes'!$A$2:$C$100, 3, TRUE)</f>
        <v>0</v>
      </c>
    </row>
    <row r="1372" spans="7:11">
      <c r="G1372">
        <v>27</v>
      </c>
      <c r="H1372">
        <v>19</v>
      </c>
      <c r="I1372" s="2">
        <f>INT(DATE($B$3,1,1) + (27+0.5)*365/50)</f>
        <v>0</v>
      </c>
      <c r="J1372" s="2">
        <f>I1372 - INT(ROUND($B$4 * 30.4375, 0) * (19+0.5)/50)</f>
        <v>0</v>
      </c>
      <c r="K1372" s="4">
        <f>VLOOKUP(J1372, '1_Rate_Changes'!$A$2:$C$100, 3, TRUE)</f>
        <v>0</v>
      </c>
    </row>
    <row r="1373" spans="7:11">
      <c r="G1373">
        <v>27</v>
      </c>
      <c r="H1373">
        <v>20</v>
      </c>
      <c r="I1373" s="2">
        <f>INT(DATE($B$3,1,1) + (27+0.5)*365/50)</f>
        <v>0</v>
      </c>
      <c r="J1373" s="2">
        <f>I1373 - INT(ROUND($B$4 * 30.4375, 0) * (20+0.5)/50)</f>
        <v>0</v>
      </c>
      <c r="K1373" s="4">
        <f>VLOOKUP(J1373, '1_Rate_Changes'!$A$2:$C$100, 3, TRUE)</f>
        <v>0</v>
      </c>
    </row>
    <row r="1374" spans="7:11">
      <c r="G1374">
        <v>27</v>
      </c>
      <c r="H1374">
        <v>21</v>
      </c>
      <c r="I1374" s="2">
        <f>INT(DATE($B$3,1,1) + (27+0.5)*365/50)</f>
        <v>0</v>
      </c>
      <c r="J1374" s="2">
        <f>I1374 - INT(ROUND($B$4 * 30.4375, 0) * (21+0.5)/50)</f>
        <v>0</v>
      </c>
      <c r="K1374" s="4">
        <f>VLOOKUP(J1374, '1_Rate_Changes'!$A$2:$C$100, 3, TRUE)</f>
        <v>0</v>
      </c>
    </row>
    <row r="1375" spans="7:11">
      <c r="G1375">
        <v>27</v>
      </c>
      <c r="H1375">
        <v>22</v>
      </c>
      <c r="I1375" s="2">
        <f>INT(DATE($B$3,1,1) + (27+0.5)*365/50)</f>
        <v>0</v>
      </c>
      <c r="J1375" s="2">
        <f>I1375 - INT(ROUND($B$4 * 30.4375, 0) * (22+0.5)/50)</f>
        <v>0</v>
      </c>
      <c r="K1375" s="4">
        <f>VLOOKUP(J1375, '1_Rate_Changes'!$A$2:$C$100, 3, TRUE)</f>
        <v>0</v>
      </c>
    </row>
    <row r="1376" spans="7:11">
      <c r="G1376">
        <v>27</v>
      </c>
      <c r="H1376">
        <v>23</v>
      </c>
      <c r="I1376" s="2">
        <f>INT(DATE($B$3,1,1) + (27+0.5)*365/50)</f>
        <v>0</v>
      </c>
      <c r="J1376" s="2">
        <f>I1376 - INT(ROUND($B$4 * 30.4375, 0) * (23+0.5)/50)</f>
        <v>0</v>
      </c>
      <c r="K1376" s="4">
        <f>VLOOKUP(J1376, '1_Rate_Changes'!$A$2:$C$100, 3, TRUE)</f>
        <v>0</v>
      </c>
    </row>
    <row r="1377" spans="7:11">
      <c r="G1377">
        <v>27</v>
      </c>
      <c r="H1377">
        <v>24</v>
      </c>
      <c r="I1377" s="2">
        <f>INT(DATE($B$3,1,1) + (27+0.5)*365/50)</f>
        <v>0</v>
      </c>
      <c r="J1377" s="2">
        <f>I1377 - INT(ROUND($B$4 * 30.4375, 0) * (24+0.5)/50)</f>
        <v>0</v>
      </c>
      <c r="K1377" s="4">
        <f>VLOOKUP(J1377, '1_Rate_Changes'!$A$2:$C$100, 3, TRUE)</f>
        <v>0</v>
      </c>
    </row>
    <row r="1378" spans="7:11">
      <c r="G1378">
        <v>27</v>
      </c>
      <c r="H1378">
        <v>25</v>
      </c>
      <c r="I1378" s="2">
        <f>INT(DATE($B$3,1,1) + (27+0.5)*365/50)</f>
        <v>0</v>
      </c>
      <c r="J1378" s="2">
        <f>I1378 - INT(ROUND($B$4 * 30.4375, 0) * (25+0.5)/50)</f>
        <v>0</v>
      </c>
      <c r="K1378" s="4">
        <f>VLOOKUP(J1378, '1_Rate_Changes'!$A$2:$C$100, 3, TRUE)</f>
        <v>0</v>
      </c>
    </row>
    <row r="1379" spans="7:11">
      <c r="G1379">
        <v>27</v>
      </c>
      <c r="H1379">
        <v>26</v>
      </c>
      <c r="I1379" s="2">
        <f>INT(DATE($B$3,1,1) + (27+0.5)*365/50)</f>
        <v>0</v>
      </c>
      <c r="J1379" s="2">
        <f>I1379 - INT(ROUND($B$4 * 30.4375, 0) * (26+0.5)/50)</f>
        <v>0</v>
      </c>
      <c r="K1379" s="4">
        <f>VLOOKUP(J1379, '1_Rate_Changes'!$A$2:$C$100, 3, TRUE)</f>
        <v>0</v>
      </c>
    </row>
    <row r="1380" spans="7:11">
      <c r="G1380">
        <v>27</v>
      </c>
      <c r="H1380">
        <v>27</v>
      </c>
      <c r="I1380" s="2">
        <f>INT(DATE($B$3,1,1) + (27+0.5)*365/50)</f>
        <v>0</v>
      </c>
      <c r="J1380" s="2">
        <f>I1380 - INT(ROUND($B$4 * 30.4375, 0) * (27+0.5)/50)</f>
        <v>0</v>
      </c>
      <c r="K1380" s="4">
        <f>VLOOKUP(J1380, '1_Rate_Changes'!$A$2:$C$100, 3, TRUE)</f>
        <v>0</v>
      </c>
    </row>
    <row r="1381" spans="7:11">
      <c r="G1381">
        <v>27</v>
      </c>
      <c r="H1381">
        <v>28</v>
      </c>
      <c r="I1381" s="2">
        <f>INT(DATE($B$3,1,1) + (27+0.5)*365/50)</f>
        <v>0</v>
      </c>
      <c r="J1381" s="2">
        <f>I1381 - INT(ROUND($B$4 * 30.4375, 0) * (28+0.5)/50)</f>
        <v>0</v>
      </c>
      <c r="K1381" s="4">
        <f>VLOOKUP(J1381, '1_Rate_Changes'!$A$2:$C$100, 3, TRUE)</f>
        <v>0</v>
      </c>
    </row>
    <row r="1382" spans="7:11">
      <c r="G1382">
        <v>27</v>
      </c>
      <c r="H1382">
        <v>29</v>
      </c>
      <c r="I1382" s="2">
        <f>INT(DATE($B$3,1,1) + (27+0.5)*365/50)</f>
        <v>0</v>
      </c>
      <c r="J1382" s="2">
        <f>I1382 - INT(ROUND($B$4 * 30.4375, 0) * (29+0.5)/50)</f>
        <v>0</v>
      </c>
      <c r="K1382" s="4">
        <f>VLOOKUP(J1382, '1_Rate_Changes'!$A$2:$C$100, 3, TRUE)</f>
        <v>0</v>
      </c>
    </row>
    <row r="1383" spans="7:11">
      <c r="G1383">
        <v>27</v>
      </c>
      <c r="H1383">
        <v>30</v>
      </c>
      <c r="I1383" s="2">
        <f>INT(DATE($B$3,1,1) + (27+0.5)*365/50)</f>
        <v>0</v>
      </c>
      <c r="J1383" s="2">
        <f>I1383 - INT(ROUND($B$4 * 30.4375, 0) * (30+0.5)/50)</f>
        <v>0</v>
      </c>
      <c r="K1383" s="4">
        <f>VLOOKUP(J1383, '1_Rate_Changes'!$A$2:$C$100, 3, TRUE)</f>
        <v>0</v>
      </c>
    </row>
    <row r="1384" spans="7:11">
      <c r="G1384">
        <v>27</v>
      </c>
      <c r="H1384">
        <v>31</v>
      </c>
      <c r="I1384" s="2">
        <f>INT(DATE($B$3,1,1) + (27+0.5)*365/50)</f>
        <v>0</v>
      </c>
      <c r="J1384" s="2">
        <f>I1384 - INT(ROUND($B$4 * 30.4375, 0) * (31+0.5)/50)</f>
        <v>0</v>
      </c>
      <c r="K1384" s="4">
        <f>VLOOKUP(J1384, '1_Rate_Changes'!$A$2:$C$100, 3, TRUE)</f>
        <v>0</v>
      </c>
    </row>
    <row r="1385" spans="7:11">
      <c r="G1385">
        <v>27</v>
      </c>
      <c r="H1385">
        <v>32</v>
      </c>
      <c r="I1385" s="2">
        <f>INT(DATE($B$3,1,1) + (27+0.5)*365/50)</f>
        <v>0</v>
      </c>
      <c r="J1385" s="2">
        <f>I1385 - INT(ROUND($B$4 * 30.4375, 0) * (32+0.5)/50)</f>
        <v>0</v>
      </c>
      <c r="K1385" s="4">
        <f>VLOOKUP(J1385, '1_Rate_Changes'!$A$2:$C$100, 3, TRUE)</f>
        <v>0</v>
      </c>
    </row>
    <row r="1386" spans="7:11">
      <c r="G1386">
        <v>27</v>
      </c>
      <c r="H1386">
        <v>33</v>
      </c>
      <c r="I1386" s="2">
        <f>INT(DATE($B$3,1,1) + (27+0.5)*365/50)</f>
        <v>0</v>
      </c>
      <c r="J1386" s="2">
        <f>I1386 - INT(ROUND($B$4 * 30.4375, 0) * (33+0.5)/50)</f>
        <v>0</v>
      </c>
      <c r="K1386" s="4">
        <f>VLOOKUP(J1386, '1_Rate_Changes'!$A$2:$C$100, 3, TRUE)</f>
        <v>0</v>
      </c>
    </row>
    <row r="1387" spans="7:11">
      <c r="G1387">
        <v>27</v>
      </c>
      <c r="H1387">
        <v>34</v>
      </c>
      <c r="I1387" s="2">
        <f>INT(DATE($B$3,1,1) + (27+0.5)*365/50)</f>
        <v>0</v>
      </c>
      <c r="J1387" s="2">
        <f>I1387 - INT(ROUND($B$4 * 30.4375, 0) * (34+0.5)/50)</f>
        <v>0</v>
      </c>
      <c r="K1387" s="4">
        <f>VLOOKUP(J1387, '1_Rate_Changes'!$A$2:$C$100, 3, TRUE)</f>
        <v>0</v>
      </c>
    </row>
    <row r="1388" spans="7:11">
      <c r="G1388">
        <v>27</v>
      </c>
      <c r="H1388">
        <v>35</v>
      </c>
      <c r="I1388" s="2">
        <f>INT(DATE($B$3,1,1) + (27+0.5)*365/50)</f>
        <v>0</v>
      </c>
      <c r="J1388" s="2">
        <f>I1388 - INT(ROUND($B$4 * 30.4375, 0) * (35+0.5)/50)</f>
        <v>0</v>
      </c>
      <c r="K1388" s="4">
        <f>VLOOKUP(J1388, '1_Rate_Changes'!$A$2:$C$100, 3, TRUE)</f>
        <v>0</v>
      </c>
    </row>
    <row r="1389" spans="7:11">
      <c r="G1389">
        <v>27</v>
      </c>
      <c r="H1389">
        <v>36</v>
      </c>
      <c r="I1389" s="2">
        <f>INT(DATE($B$3,1,1) + (27+0.5)*365/50)</f>
        <v>0</v>
      </c>
      <c r="J1389" s="2">
        <f>I1389 - INT(ROUND($B$4 * 30.4375, 0) * (36+0.5)/50)</f>
        <v>0</v>
      </c>
      <c r="K1389" s="4">
        <f>VLOOKUP(J1389, '1_Rate_Changes'!$A$2:$C$100, 3, TRUE)</f>
        <v>0</v>
      </c>
    </row>
    <row r="1390" spans="7:11">
      <c r="G1390">
        <v>27</v>
      </c>
      <c r="H1390">
        <v>37</v>
      </c>
      <c r="I1390" s="2">
        <f>INT(DATE($B$3,1,1) + (27+0.5)*365/50)</f>
        <v>0</v>
      </c>
      <c r="J1390" s="2">
        <f>I1390 - INT(ROUND($B$4 * 30.4375, 0) * (37+0.5)/50)</f>
        <v>0</v>
      </c>
      <c r="K1390" s="4">
        <f>VLOOKUP(J1390, '1_Rate_Changes'!$A$2:$C$100, 3, TRUE)</f>
        <v>0</v>
      </c>
    </row>
    <row r="1391" spans="7:11">
      <c r="G1391">
        <v>27</v>
      </c>
      <c r="H1391">
        <v>38</v>
      </c>
      <c r="I1391" s="2">
        <f>INT(DATE($B$3,1,1) + (27+0.5)*365/50)</f>
        <v>0</v>
      </c>
      <c r="J1391" s="2">
        <f>I1391 - INT(ROUND($B$4 * 30.4375, 0) * (38+0.5)/50)</f>
        <v>0</v>
      </c>
      <c r="K1391" s="4">
        <f>VLOOKUP(J1391, '1_Rate_Changes'!$A$2:$C$100, 3, TRUE)</f>
        <v>0</v>
      </c>
    </row>
    <row r="1392" spans="7:11">
      <c r="G1392">
        <v>27</v>
      </c>
      <c r="H1392">
        <v>39</v>
      </c>
      <c r="I1392" s="2">
        <f>INT(DATE($B$3,1,1) + (27+0.5)*365/50)</f>
        <v>0</v>
      </c>
      <c r="J1392" s="2">
        <f>I1392 - INT(ROUND($B$4 * 30.4375, 0) * (39+0.5)/50)</f>
        <v>0</v>
      </c>
      <c r="K1392" s="4">
        <f>VLOOKUP(J1392, '1_Rate_Changes'!$A$2:$C$100, 3, TRUE)</f>
        <v>0</v>
      </c>
    </row>
    <row r="1393" spans="7:11">
      <c r="G1393">
        <v>27</v>
      </c>
      <c r="H1393">
        <v>40</v>
      </c>
      <c r="I1393" s="2">
        <f>INT(DATE($B$3,1,1) + (27+0.5)*365/50)</f>
        <v>0</v>
      </c>
      <c r="J1393" s="2">
        <f>I1393 - INT(ROUND($B$4 * 30.4375, 0) * (40+0.5)/50)</f>
        <v>0</v>
      </c>
      <c r="K1393" s="4">
        <f>VLOOKUP(J1393, '1_Rate_Changes'!$A$2:$C$100, 3, TRUE)</f>
        <v>0</v>
      </c>
    </row>
    <row r="1394" spans="7:11">
      <c r="G1394">
        <v>27</v>
      </c>
      <c r="H1394">
        <v>41</v>
      </c>
      <c r="I1394" s="2">
        <f>INT(DATE($B$3,1,1) + (27+0.5)*365/50)</f>
        <v>0</v>
      </c>
      <c r="J1394" s="2">
        <f>I1394 - INT(ROUND($B$4 * 30.4375, 0) * (41+0.5)/50)</f>
        <v>0</v>
      </c>
      <c r="K1394" s="4">
        <f>VLOOKUP(J1394, '1_Rate_Changes'!$A$2:$C$100, 3, TRUE)</f>
        <v>0</v>
      </c>
    </row>
    <row r="1395" spans="7:11">
      <c r="G1395">
        <v>27</v>
      </c>
      <c r="H1395">
        <v>42</v>
      </c>
      <c r="I1395" s="2">
        <f>INT(DATE($B$3,1,1) + (27+0.5)*365/50)</f>
        <v>0</v>
      </c>
      <c r="J1395" s="2">
        <f>I1395 - INT(ROUND($B$4 * 30.4375, 0) * (42+0.5)/50)</f>
        <v>0</v>
      </c>
      <c r="K1395" s="4">
        <f>VLOOKUP(J1395, '1_Rate_Changes'!$A$2:$C$100, 3, TRUE)</f>
        <v>0</v>
      </c>
    </row>
    <row r="1396" spans="7:11">
      <c r="G1396">
        <v>27</v>
      </c>
      <c r="H1396">
        <v>43</v>
      </c>
      <c r="I1396" s="2">
        <f>INT(DATE($B$3,1,1) + (27+0.5)*365/50)</f>
        <v>0</v>
      </c>
      <c r="J1396" s="2">
        <f>I1396 - INT(ROUND($B$4 * 30.4375, 0) * (43+0.5)/50)</f>
        <v>0</v>
      </c>
      <c r="K1396" s="4">
        <f>VLOOKUP(J1396, '1_Rate_Changes'!$A$2:$C$100, 3, TRUE)</f>
        <v>0</v>
      </c>
    </row>
    <row r="1397" spans="7:11">
      <c r="G1397">
        <v>27</v>
      </c>
      <c r="H1397">
        <v>44</v>
      </c>
      <c r="I1397" s="2">
        <f>INT(DATE($B$3,1,1) + (27+0.5)*365/50)</f>
        <v>0</v>
      </c>
      <c r="J1397" s="2">
        <f>I1397 - INT(ROUND($B$4 * 30.4375, 0) * (44+0.5)/50)</f>
        <v>0</v>
      </c>
      <c r="K1397" s="4">
        <f>VLOOKUP(J1397, '1_Rate_Changes'!$A$2:$C$100, 3, TRUE)</f>
        <v>0</v>
      </c>
    </row>
    <row r="1398" spans="7:11">
      <c r="G1398">
        <v>27</v>
      </c>
      <c r="H1398">
        <v>45</v>
      </c>
      <c r="I1398" s="2">
        <f>INT(DATE($B$3,1,1) + (27+0.5)*365/50)</f>
        <v>0</v>
      </c>
      <c r="J1398" s="2">
        <f>I1398 - INT(ROUND($B$4 * 30.4375, 0) * (45+0.5)/50)</f>
        <v>0</v>
      </c>
      <c r="K1398" s="4">
        <f>VLOOKUP(J1398, '1_Rate_Changes'!$A$2:$C$100, 3, TRUE)</f>
        <v>0</v>
      </c>
    </row>
    <row r="1399" spans="7:11">
      <c r="G1399">
        <v>27</v>
      </c>
      <c r="H1399">
        <v>46</v>
      </c>
      <c r="I1399" s="2">
        <f>INT(DATE($B$3,1,1) + (27+0.5)*365/50)</f>
        <v>0</v>
      </c>
      <c r="J1399" s="2">
        <f>I1399 - INT(ROUND($B$4 * 30.4375, 0) * (46+0.5)/50)</f>
        <v>0</v>
      </c>
      <c r="K1399" s="4">
        <f>VLOOKUP(J1399, '1_Rate_Changes'!$A$2:$C$100, 3, TRUE)</f>
        <v>0</v>
      </c>
    </row>
    <row r="1400" spans="7:11">
      <c r="G1400">
        <v>27</v>
      </c>
      <c r="H1400">
        <v>47</v>
      </c>
      <c r="I1400" s="2">
        <f>INT(DATE($B$3,1,1) + (27+0.5)*365/50)</f>
        <v>0</v>
      </c>
      <c r="J1400" s="2">
        <f>I1400 - INT(ROUND($B$4 * 30.4375, 0) * (47+0.5)/50)</f>
        <v>0</v>
      </c>
      <c r="K1400" s="4">
        <f>VLOOKUP(J1400, '1_Rate_Changes'!$A$2:$C$100, 3, TRUE)</f>
        <v>0</v>
      </c>
    </row>
    <row r="1401" spans="7:11">
      <c r="G1401">
        <v>27</v>
      </c>
      <c r="H1401">
        <v>48</v>
      </c>
      <c r="I1401" s="2">
        <f>INT(DATE($B$3,1,1) + (27+0.5)*365/50)</f>
        <v>0</v>
      </c>
      <c r="J1401" s="2">
        <f>I1401 - INT(ROUND($B$4 * 30.4375, 0) * (48+0.5)/50)</f>
        <v>0</v>
      </c>
      <c r="K1401" s="4">
        <f>VLOOKUP(J1401, '1_Rate_Changes'!$A$2:$C$100, 3, TRUE)</f>
        <v>0</v>
      </c>
    </row>
    <row r="1402" spans="7:11">
      <c r="G1402">
        <v>27</v>
      </c>
      <c r="H1402">
        <v>49</v>
      </c>
      <c r="I1402" s="2">
        <f>INT(DATE($B$3,1,1) + (27+0.5)*365/50)</f>
        <v>0</v>
      </c>
      <c r="J1402" s="2">
        <f>I1402 - INT(ROUND($B$4 * 30.4375, 0) * (49+0.5)/50)</f>
        <v>0</v>
      </c>
      <c r="K1402" s="4">
        <f>VLOOKUP(J1402, '1_Rate_Changes'!$A$2:$C$100, 3, TRUE)</f>
        <v>0</v>
      </c>
    </row>
    <row r="1403" spans="7:11">
      <c r="G1403">
        <v>28</v>
      </c>
      <c r="H1403">
        <v>0</v>
      </c>
      <c r="I1403" s="2">
        <f>INT(DATE($B$3,1,1) + (28+0.5)*365/50)</f>
        <v>0</v>
      </c>
      <c r="J1403" s="2">
        <f>I1403 - INT(ROUND($B$4 * 30.4375, 0) * (0+0.5)/50)</f>
        <v>0</v>
      </c>
      <c r="K1403" s="4">
        <f>VLOOKUP(J1403, '1_Rate_Changes'!$A$2:$C$100, 3, TRUE)</f>
        <v>0</v>
      </c>
    </row>
    <row r="1404" spans="7:11">
      <c r="G1404">
        <v>28</v>
      </c>
      <c r="H1404">
        <v>1</v>
      </c>
      <c r="I1404" s="2">
        <f>INT(DATE($B$3,1,1) + (28+0.5)*365/50)</f>
        <v>0</v>
      </c>
      <c r="J1404" s="2">
        <f>I1404 - INT(ROUND($B$4 * 30.4375, 0) * (1+0.5)/50)</f>
        <v>0</v>
      </c>
      <c r="K1404" s="4">
        <f>VLOOKUP(J1404, '1_Rate_Changes'!$A$2:$C$100, 3, TRUE)</f>
        <v>0</v>
      </c>
    </row>
    <row r="1405" spans="7:11">
      <c r="G1405">
        <v>28</v>
      </c>
      <c r="H1405">
        <v>2</v>
      </c>
      <c r="I1405" s="2">
        <f>INT(DATE($B$3,1,1) + (28+0.5)*365/50)</f>
        <v>0</v>
      </c>
      <c r="J1405" s="2">
        <f>I1405 - INT(ROUND($B$4 * 30.4375, 0) * (2+0.5)/50)</f>
        <v>0</v>
      </c>
      <c r="K1405" s="4">
        <f>VLOOKUP(J1405, '1_Rate_Changes'!$A$2:$C$100, 3, TRUE)</f>
        <v>0</v>
      </c>
    </row>
    <row r="1406" spans="7:11">
      <c r="G1406">
        <v>28</v>
      </c>
      <c r="H1406">
        <v>3</v>
      </c>
      <c r="I1406" s="2">
        <f>INT(DATE($B$3,1,1) + (28+0.5)*365/50)</f>
        <v>0</v>
      </c>
      <c r="J1406" s="2">
        <f>I1406 - INT(ROUND($B$4 * 30.4375, 0) * (3+0.5)/50)</f>
        <v>0</v>
      </c>
      <c r="K1406" s="4">
        <f>VLOOKUP(J1406, '1_Rate_Changes'!$A$2:$C$100, 3, TRUE)</f>
        <v>0</v>
      </c>
    </row>
    <row r="1407" spans="7:11">
      <c r="G1407">
        <v>28</v>
      </c>
      <c r="H1407">
        <v>4</v>
      </c>
      <c r="I1407" s="2">
        <f>INT(DATE($B$3,1,1) + (28+0.5)*365/50)</f>
        <v>0</v>
      </c>
      <c r="J1407" s="2">
        <f>I1407 - INT(ROUND($B$4 * 30.4375, 0) * (4+0.5)/50)</f>
        <v>0</v>
      </c>
      <c r="K1407" s="4">
        <f>VLOOKUP(J1407, '1_Rate_Changes'!$A$2:$C$100, 3, TRUE)</f>
        <v>0</v>
      </c>
    </row>
    <row r="1408" spans="7:11">
      <c r="G1408">
        <v>28</v>
      </c>
      <c r="H1408">
        <v>5</v>
      </c>
      <c r="I1408" s="2">
        <f>INT(DATE($B$3,1,1) + (28+0.5)*365/50)</f>
        <v>0</v>
      </c>
      <c r="J1408" s="2">
        <f>I1408 - INT(ROUND($B$4 * 30.4375, 0) * (5+0.5)/50)</f>
        <v>0</v>
      </c>
      <c r="K1408" s="4">
        <f>VLOOKUP(J1408, '1_Rate_Changes'!$A$2:$C$100, 3, TRUE)</f>
        <v>0</v>
      </c>
    </row>
    <row r="1409" spans="7:11">
      <c r="G1409">
        <v>28</v>
      </c>
      <c r="H1409">
        <v>6</v>
      </c>
      <c r="I1409" s="2">
        <f>INT(DATE($B$3,1,1) + (28+0.5)*365/50)</f>
        <v>0</v>
      </c>
      <c r="J1409" s="2">
        <f>I1409 - INT(ROUND($B$4 * 30.4375, 0) * (6+0.5)/50)</f>
        <v>0</v>
      </c>
      <c r="K1409" s="4">
        <f>VLOOKUP(J1409, '1_Rate_Changes'!$A$2:$C$100, 3, TRUE)</f>
        <v>0</v>
      </c>
    </row>
    <row r="1410" spans="7:11">
      <c r="G1410">
        <v>28</v>
      </c>
      <c r="H1410">
        <v>7</v>
      </c>
      <c r="I1410" s="2">
        <f>INT(DATE($B$3,1,1) + (28+0.5)*365/50)</f>
        <v>0</v>
      </c>
      <c r="J1410" s="2">
        <f>I1410 - INT(ROUND($B$4 * 30.4375, 0) * (7+0.5)/50)</f>
        <v>0</v>
      </c>
      <c r="K1410" s="4">
        <f>VLOOKUP(J1410, '1_Rate_Changes'!$A$2:$C$100, 3, TRUE)</f>
        <v>0</v>
      </c>
    </row>
    <row r="1411" spans="7:11">
      <c r="G1411">
        <v>28</v>
      </c>
      <c r="H1411">
        <v>8</v>
      </c>
      <c r="I1411" s="2">
        <f>INT(DATE($B$3,1,1) + (28+0.5)*365/50)</f>
        <v>0</v>
      </c>
      <c r="J1411" s="2">
        <f>I1411 - INT(ROUND($B$4 * 30.4375, 0) * (8+0.5)/50)</f>
        <v>0</v>
      </c>
      <c r="K1411" s="4">
        <f>VLOOKUP(J1411, '1_Rate_Changes'!$A$2:$C$100, 3, TRUE)</f>
        <v>0</v>
      </c>
    </row>
    <row r="1412" spans="7:11">
      <c r="G1412">
        <v>28</v>
      </c>
      <c r="H1412">
        <v>9</v>
      </c>
      <c r="I1412" s="2">
        <f>INT(DATE($B$3,1,1) + (28+0.5)*365/50)</f>
        <v>0</v>
      </c>
      <c r="J1412" s="2">
        <f>I1412 - INT(ROUND($B$4 * 30.4375, 0) * (9+0.5)/50)</f>
        <v>0</v>
      </c>
      <c r="K1412" s="4">
        <f>VLOOKUP(J1412, '1_Rate_Changes'!$A$2:$C$100, 3, TRUE)</f>
        <v>0</v>
      </c>
    </row>
    <row r="1413" spans="7:11">
      <c r="G1413">
        <v>28</v>
      </c>
      <c r="H1413">
        <v>10</v>
      </c>
      <c r="I1413" s="2">
        <f>INT(DATE($B$3,1,1) + (28+0.5)*365/50)</f>
        <v>0</v>
      </c>
      <c r="J1413" s="2">
        <f>I1413 - INT(ROUND($B$4 * 30.4375, 0) * (10+0.5)/50)</f>
        <v>0</v>
      </c>
      <c r="K1413" s="4">
        <f>VLOOKUP(J1413, '1_Rate_Changes'!$A$2:$C$100, 3, TRUE)</f>
        <v>0</v>
      </c>
    </row>
    <row r="1414" spans="7:11">
      <c r="G1414">
        <v>28</v>
      </c>
      <c r="H1414">
        <v>11</v>
      </c>
      <c r="I1414" s="2">
        <f>INT(DATE($B$3,1,1) + (28+0.5)*365/50)</f>
        <v>0</v>
      </c>
      <c r="J1414" s="2">
        <f>I1414 - INT(ROUND($B$4 * 30.4375, 0) * (11+0.5)/50)</f>
        <v>0</v>
      </c>
      <c r="K1414" s="4">
        <f>VLOOKUP(J1414, '1_Rate_Changes'!$A$2:$C$100, 3, TRUE)</f>
        <v>0</v>
      </c>
    </row>
    <row r="1415" spans="7:11">
      <c r="G1415">
        <v>28</v>
      </c>
      <c r="H1415">
        <v>12</v>
      </c>
      <c r="I1415" s="2">
        <f>INT(DATE($B$3,1,1) + (28+0.5)*365/50)</f>
        <v>0</v>
      </c>
      <c r="J1415" s="2">
        <f>I1415 - INT(ROUND($B$4 * 30.4375, 0) * (12+0.5)/50)</f>
        <v>0</v>
      </c>
      <c r="K1415" s="4">
        <f>VLOOKUP(J1415, '1_Rate_Changes'!$A$2:$C$100, 3, TRUE)</f>
        <v>0</v>
      </c>
    </row>
    <row r="1416" spans="7:11">
      <c r="G1416">
        <v>28</v>
      </c>
      <c r="H1416">
        <v>13</v>
      </c>
      <c r="I1416" s="2">
        <f>INT(DATE($B$3,1,1) + (28+0.5)*365/50)</f>
        <v>0</v>
      </c>
      <c r="J1416" s="2">
        <f>I1416 - INT(ROUND($B$4 * 30.4375, 0) * (13+0.5)/50)</f>
        <v>0</v>
      </c>
      <c r="K1416" s="4">
        <f>VLOOKUP(J1416, '1_Rate_Changes'!$A$2:$C$100, 3, TRUE)</f>
        <v>0</v>
      </c>
    </row>
    <row r="1417" spans="7:11">
      <c r="G1417">
        <v>28</v>
      </c>
      <c r="H1417">
        <v>14</v>
      </c>
      <c r="I1417" s="2">
        <f>INT(DATE($B$3,1,1) + (28+0.5)*365/50)</f>
        <v>0</v>
      </c>
      <c r="J1417" s="2">
        <f>I1417 - INT(ROUND($B$4 * 30.4375, 0) * (14+0.5)/50)</f>
        <v>0</v>
      </c>
      <c r="K1417" s="4">
        <f>VLOOKUP(J1417, '1_Rate_Changes'!$A$2:$C$100, 3, TRUE)</f>
        <v>0</v>
      </c>
    </row>
    <row r="1418" spans="7:11">
      <c r="G1418">
        <v>28</v>
      </c>
      <c r="H1418">
        <v>15</v>
      </c>
      <c r="I1418" s="2">
        <f>INT(DATE($B$3,1,1) + (28+0.5)*365/50)</f>
        <v>0</v>
      </c>
      <c r="J1418" s="2">
        <f>I1418 - INT(ROUND($B$4 * 30.4375, 0) * (15+0.5)/50)</f>
        <v>0</v>
      </c>
      <c r="K1418" s="4">
        <f>VLOOKUP(J1418, '1_Rate_Changes'!$A$2:$C$100, 3, TRUE)</f>
        <v>0</v>
      </c>
    </row>
    <row r="1419" spans="7:11">
      <c r="G1419">
        <v>28</v>
      </c>
      <c r="H1419">
        <v>16</v>
      </c>
      <c r="I1419" s="2">
        <f>INT(DATE($B$3,1,1) + (28+0.5)*365/50)</f>
        <v>0</v>
      </c>
      <c r="J1419" s="2">
        <f>I1419 - INT(ROUND($B$4 * 30.4375, 0) * (16+0.5)/50)</f>
        <v>0</v>
      </c>
      <c r="K1419" s="4">
        <f>VLOOKUP(J1419, '1_Rate_Changes'!$A$2:$C$100, 3, TRUE)</f>
        <v>0</v>
      </c>
    </row>
    <row r="1420" spans="7:11">
      <c r="G1420">
        <v>28</v>
      </c>
      <c r="H1420">
        <v>17</v>
      </c>
      <c r="I1420" s="2">
        <f>INT(DATE($B$3,1,1) + (28+0.5)*365/50)</f>
        <v>0</v>
      </c>
      <c r="J1420" s="2">
        <f>I1420 - INT(ROUND($B$4 * 30.4375, 0) * (17+0.5)/50)</f>
        <v>0</v>
      </c>
      <c r="K1420" s="4">
        <f>VLOOKUP(J1420, '1_Rate_Changes'!$A$2:$C$100, 3, TRUE)</f>
        <v>0</v>
      </c>
    </row>
    <row r="1421" spans="7:11">
      <c r="G1421">
        <v>28</v>
      </c>
      <c r="H1421">
        <v>18</v>
      </c>
      <c r="I1421" s="2">
        <f>INT(DATE($B$3,1,1) + (28+0.5)*365/50)</f>
        <v>0</v>
      </c>
      <c r="J1421" s="2">
        <f>I1421 - INT(ROUND($B$4 * 30.4375, 0) * (18+0.5)/50)</f>
        <v>0</v>
      </c>
      <c r="K1421" s="4">
        <f>VLOOKUP(J1421, '1_Rate_Changes'!$A$2:$C$100, 3, TRUE)</f>
        <v>0</v>
      </c>
    </row>
    <row r="1422" spans="7:11">
      <c r="G1422">
        <v>28</v>
      </c>
      <c r="H1422">
        <v>19</v>
      </c>
      <c r="I1422" s="2">
        <f>INT(DATE($B$3,1,1) + (28+0.5)*365/50)</f>
        <v>0</v>
      </c>
      <c r="J1422" s="2">
        <f>I1422 - INT(ROUND($B$4 * 30.4375, 0) * (19+0.5)/50)</f>
        <v>0</v>
      </c>
      <c r="K1422" s="4">
        <f>VLOOKUP(J1422, '1_Rate_Changes'!$A$2:$C$100, 3, TRUE)</f>
        <v>0</v>
      </c>
    </row>
    <row r="1423" spans="7:11">
      <c r="G1423">
        <v>28</v>
      </c>
      <c r="H1423">
        <v>20</v>
      </c>
      <c r="I1423" s="2">
        <f>INT(DATE($B$3,1,1) + (28+0.5)*365/50)</f>
        <v>0</v>
      </c>
      <c r="J1423" s="2">
        <f>I1423 - INT(ROUND($B$4 * 30.4375, 0) * (20+0.5)/50)</f>
        <v>0</v>
      </c>
      <c r="K1423" s="4">
        <f>VLOOKUP(J1423, '1_Rate_Changes'!$A$2:$C$100, 3, TRUE)</f>
        <v>0</v>
      </c>
    </row>
    <row r="1424" spans="7:11">
      <c r="G1424">
        <v>28</v>
      </c>
      <c r="H1424">
        <v>21</v>
      </c>
      <c r="I1424" s="2">
        <f>INT(DATE($B$3,1,1) + (28+0.5)*365/50)</f>
        <v>0</v>
      </c>
      <c r="J1424" s="2">
        <f>I1424 - INT(ROUND($B$4 * 30.4375, 0) * (21+0.5)/50)</f>
        <v>0</v>
      </c>
      <c r="K1424" s="4">
        <f>VLOOKUP(J1424, '1_Rate_Changes'!$A$2:$C$100, 3, TRUE)</f>
        <v>0</v>
      </c>
    </row>
    <row r="1425" spans="7:11">
      <c r="G1425">
        <v>28</v>
      </c>
      <c r="H1425">
        <v>22</v>
      </c>
      <c r="I1425" s="2">
        <f>INT(DATE($B$3,1,1) + (28+0.5)*365/50)</f>
        <v>0</v>
      </c>
      <c r="J1425" s="2">
        <f>I1425 - INT(ROUND($B$4 * 30.4375, 0) * (22+0.5)/50)</f>
        <v>0</v>
      </c>
      <c r="K1425" s="4">
        <f>VLOOKUP(J1425, '1_Rate_Changes'!$A$2:$C$100, 3, TRUE)</f>
        <v>0</v>
      </c>
    </row>
    <row r="1426" spans="7:11">
      <c r="G1426">
        <v>28</v>
      </c>
      <c r="H1426">
        <v>23</v>
      </c>
      <c r="I1426" s="2">
        <f>INT(DATE($B$3,1,1) + (28+0.5)*365/50)</f>
        <v>0</v>
      </c>
      <c r="J1426" s="2">
        <f>I1426 - INT(ROUND($B$4 * 30.4375, 0) * (23+0.5)/50)</f>
        <v>0</v>
      </c>
      <c r="K1426" s="4">
        <f>VLOOKUP(J1426, '1_Rate_Changes'!$A$2:$C$100, 3, TRUE)</f>
        <v>0</v>
      </c>
    </row>
    <row r="1427" spans="7:11">
      <c r="G1427">
        <v>28</v>
      </c>
      <c r="H1427">
        <v>24</v>
      </c>
      <c r="I1427" s="2">
        <f>INT(DATE($B$3,1,1) + (28+0.5)*365/50)</f>
        <v>0</v>
      </c>
      <c r="J1427" s="2">
        <f>I1427 - INT(ROUND($B$4 * 30.4375, 0) * (24+0.5)/50)</f>
        <v>0</v>
      </c>
      <c r="K1427" s="4">
        <f>VLOOKUP(J1427, '1_Rate_Changes'!$A$2:$C$100, 3, TRUE)</f>
        <v>0</v>
      </c>
    </row>
    <row r="1428" spans="7:11">
      <c r="G1428">
        <v>28</v>
      </c>
      <c r="H1428">
        <v>25</v>
      </c>
      <c r="I1428" s="2">
        <f>INT(DATE($B$3,1,1) + (28+0.5)*365/50)</f>
        <v>0</v>
      </c>
      <c r="J1428" s="2">
        <f>I1428 - INT(ROUND($B$4 * 30.4375, 0) * (25+0.5)/50)</f>
        <v>0</v>
      </c>
      <c r="K1428" s="4">
        <f>VLOOKUP(J1428, '1_Rate_Changes'!$A$2:$C$100, 3, TRUE)</f>
        <v>0</v>
      </c>
    </row>
    <row r="1429" spans="7:11">
      <c r="G1429">
        <v>28</v>
      </c>
      <c r="H1429">
        <v>26</v>
      </c>
      <c r="I1429" s="2">
        <f>INT(DATE($B$3,1,1) + (28+0.5)*365/50)</f>
        <v>0</v>
      </c>
      <c r="J1429" s="2">
        <f>I1429 - INT(ROUND($B$4 * 30.4375, 0) * (26+0.5)/50)</f>
        <v>0</v>
      </c>
      <c r="K1429" s="4">
        <f>VLOOKUP(J1429, '1_Rate_Changes'!$A$2:$C$100, 3, TRUE)</f>
        <v>0</v>
      </c>
    </row>
    <row r="1430" spans="7:11">
      <c r="G1430">
        <v>28</v>
      </c>
      <c r="H1430">
        <v>27</v>
      </c>
      <c r="I1430" s="2">
        <f>INT(DATE($B$3,1,1) + (28+0.5)*365/50)</f>
        <v>0</v>
      </c>
      <c r="J1430" s="2">
        <f>I1430 - INT(ROUND($B$4 * 30.4375, 0) * (27+0.5)/50)</f>
        <v>0</v>
      </c>
      <c r="K1430" s="4">
        <f>VLOOKUP(J1430, '1_Rate_Changes'!$A$2:$C$100, 3, TRUE)</f>
        <v>0</v>
      </c>
    </row>
    <row r="1431" spans="7:11">
      <c r="G1431">
        <v>28</v>
      </c>
      <c r="H1431">
        <v>28</v>
      </c>
      <c r="I1431" s="2">
        <f>INT(DATE($B$3,1,1) + (28+0.5)*365/50)</f>
        <v>0</v>
      </c>
      <c r="J1431" s="2">
        <f>I1431 - INT(ROUND($B$4 * 30.4375, 0) * (28+0.5)/50)</f>
        <v>0</v>
      </c>
      <c r="K1431" s="4">
        <f>VLOOKUP(J1431, '1_Rate_Changes'!$A$2:$C$100, 3, TRUE)</f>
        <v>0</v>
      </c>
    </row>
    <row r="1432" spans="7:11">
      <c r="G1432">
        <v>28</v>
      </c>
      <c r="H1432">
        <v>29</v>
      </c>
      <c r="I1432" s="2">
        <f>INT(DATE($B$3,1,1) + (28+0.5)*365/50)</f>
        <v>0</v>
      </c>
      <c r="J1432" s="2">
        <f>I1432 - INT(ROUND($B$4 * 30.4375, 0) * (29+0.5)/50)</f>
        <v>0</v>
      </c>
      <c r="K1432" s="4">
        <f>VLOOKUP(J1432, '1_Rate_Changes'!$A$2:$C$100, 3, TRUE)</f>
        <v>0</v>
      </c>
    </row>
    <row r="1433" spans="7:11">
      <c r="G1433">
        <v>28</v>
      </c>
      <c r="H1433">
        <v>30</v>
      </c>
      <c r="I1433" s="2">
        <f>INT(DATE($B$3,1,1) + (28+0.5)*365/50)</f>
        <v>0</v>
      </c>
      <c r="J1433" s="2">
        <f>I1433 - INT(ROUND($B$4 * 30.4375, 0) * (30+0.5)/50)</f>
        <v>0</v>
      </c>
      <c r="K1433" s="4">
        <f>VLOOKUP(J1433, '1_Rate_Changes'!$A$2:$C$100, 3, TRUE)</f>
        <v>0</v>
      </c>
    </row>
    <row r="1434" spans="7:11">
      <c r="G1434">
        <v>28</v>
      </c>
      <c r="H1434">
        <v>31</v>
      </c>
      <c r="I1434" s="2">
        <f>INT(DATE($B$3,1,1) + (28+0.5)*365/50)</f>
        <v>0</v>
      </c>
      <c r="J1434" s="2">
        <f>I1434 - INT(ROUND($B$4 * 30.4375, 0) * (31+0.5)/50)</f>
        <v>0</v>
      </c>
      <c r="K1434" s="4">
        <f>VLOOKUP(J1434, '1_Rate_Changes'!$A$2:$C$100, 3, TRUE)</f>
        <v>0</v>
      </c>
    </row>
    <row r="1435" spans="7:11">
      <c r="G1435">
        <v>28</v>
      </c>
      <c r="H1435">
        <v>32</v>
      </c>
      <c r="I1435" s="2">
        <f>INT(DATE($B$3,1,1) + (28+0.5)*365/50)</f>
        <v>0</v>
      </c>
      <c r="J1435" s="2">
        <f>I1435 - INT(ROUND($B$4 * 30.4375, 0) * (32+0.5)/50)</f>
        <v>0</v>
      </c>
      <c r="K1435" s="4">
        <f>VLOOKUP(J1435, '1_Rate_Changes'!$A$2:$C$100, 3, TRUE)</f>
        <v>0</v>
      </c>
    </row>
    <row r="1436" spans="7:11">
      <c r="G1436">
        <v>28</v>
      </c>
      <c r="H1436">
        <v>33</v>
      </c>
      <c r="I1436" s="2">
        <f>INT(DATE($B$3,1,1) + (28+0.5)*365/50)</f>
        <v>0</v>
      </c>
      <c r="J1436" s="2">
        <f>I1436 - INT(ROUND($B$4 * 30.4375, 0) * (33+0.5)/50)</f>
        <v>0</v>
      </c>
      <c r="K1436" s="4">
        <f>VLOOKUP(J1436, '1_Rate_Changes'!$A$2:$C$100, 3, TRUE)</f>
        <v>0</v>
      </c>
    </row>
    <row r="1437" spans="7:11">
      <c r="G1437">
        <v>28</v>
      </c>
      <c r="H1437">
        <v>34</v>
      </c>
      <c r="I1437" s="2">
        <f>INT(DATE($B$3,1,1) + (28+0.5)*365/50)</f>
        <v>0</v>
      </c>
      <c r="J1437" s="2">
        <f>I1437 - INT(ROUND($B$4 * 30.4375, 0) * (34+0.5)/50)</f>
        <v>0</v>
      </c>
      <c r="K1437" s="4">
        <f>VLOOKUP(J1437, '1_Rate_Changes'!$A$2:$C$100, 3, TRUE)</f>
        <v>0</v>
      </c>
    </row>
    <row r="1438" spans="7:11">
      <c r="G1438">
        <v>28</v>
      </c>
      <c r="H1438">
        <v>35</v>
      </c>
      <c r="I1438" s="2">
        <f>INT(DATE($B$3,1,1) + (28+0.5)*365/50)</f>
        <v>0</v>
      </c>
      <c r="J1438" s="2">
        <f>I1438 - INT(ROUND($B$4 * 30.4375, 0) * (35+0.5)/50)</f>
        <v>0</v>
      </c>
      <c r="K1438" s="4">
        <f>VLOOKUP(J1438, '1_Rate_Changes'!$A$2:$C$100, 3, TRUE)</f>
        <v>0</v>
      </c>
    </row>
    <row r="1439" spans="7:11">
      <c r="G1439">
        <v>28</v>
      </c>
      <c r="H1439">
        <v>36</v>
      </c>
      <c r="I1439" s="2">
        <f>INT(DATE($B$3,1,1) + (28+0.5)*365/50)</f>
        <v>0</v>
      </c>
      <c r="J1439" s="2">
        <f>I1439 - INT(ROUND($B$4 * 30.4375, 0) * (36+0.5)/50)</f>
        <v>0</v>
      </c>
      <c r="K1439" s="4">
        <f>VLOOKUP(J1439, '1_Rate_Changes'!$A$2:$C$100, 3, TRUE)</f>
        <v>0</v>
      </c>
    </row>
    <row r="1440" spans="7:11">
      <c r="G1440">
        <v>28</v>
      </c>
      <c r="H1440">
        <v>37</v>
      </c>
      <c r="I1440" s="2">
        <f>INT(DATE($B$3,1,1) + (28+0.5)*365/50)</f>
        <v>0</v>
      </c>
      <c r="J1440" s="2">
        <f>I1440 - INT(ROUND($B$4 * 30.4375, 0) * (37+0.5)/50)</f>
        <v>0</v>
      </c>
      <c r="K1440" s="4">
        <f>VLOOKUP(J1440, '1_Rate_Changes'!$A$2:$C$100, 3, TRUE)</f>
        <v>0</v>
      </c>
    </row>
    <row r="1441" spans="7:11">
      <c r="G1441">
        <v>28</v>
      </c>
      <c r="H1441">
        <v>38</v>
      </c>
      <c r="I1441" s="2">
        <f>INT(DATE($B$3,1,1) + (28+0.5)*365/50)</f>
        <v>0</v>
      </c>
      <c r="J1441" s="2">
        <f>I1441 - INT(ROUND($B$4 * 30.4375, 0) * (38+0.5)/50)</f>
        <v>0</v>
      </c>
      <c r="K1441" s="4">
        <f>VLOOKUP(J1441, '1_Rate_Changes'!$A$2:$C$100, 3, TRUE)</f>
        <v>0</v>
      </c>
    </row>
    <row r="1442" spans="7:11">
      <c r="G1442">
        <v>28</v>
      </c>
      <c r="H1442">
        <v>39</v>
      </c>
      <c r="I1442" s="2">
        <f>INT(DATE($B$3,1,1) + (28+0.5)*365/50)</f>
        <v>0</v>
      </c>
      <c r="J1442" s="2">
        <f>I1442 - INT(ROUND($B$4 * 30.4375, 0) * (39+0.5)/50)</f>
        <v>0</v>
      </c>
      <c r="K1442" s="4">
        <f>VLOOKUP(J1442, '1_Rate_Changes'!$A$2:$C$100, 3, TRUE)</f>
        <v>0</v>
      </c>
    </row>
    <row r="1443" spans="7:11">
      <c r="G1443">
        <v>28</v>
      </c>
      <c r="H1443">
        <v>40</v>
      </c>
      <c r="I1443" s="2">
        <f>INT(DATE($B$3,1,1) + (28+0.5)*365/50)</f>
        <v>0</v>
      </c>
      <c r="J1443" s="2">
        <f>I1443 - INT(ROUND($B$4 * 30.4375, 0) * (40+0.5)/50)</f>
        <v>0</v>
      </c>
      <c r="K1443" s="4">
        <f>VLOOKUP(J1443, '1_Rate_Changes'!$A$2:$C$100, 3, TRUE)</f>
        <v>0</v>
      </c>
    </row>
    <row r="1444" spans="7:11">
      <c r="G1444">
        <v>28</v>
      </c>
      <c r="H1444">
        <v>41</v>
      </c>
      <c r="I1444" s="2">
        <f>INT(DATE($B$3,1,1) + (28+0.5)*365/50)</f>
        <v>0</v>
      </c>
      <c r="J1444" s="2">
        <f>I1444 - INT(ROUND($B$4 * 30.4375, 0) * (41+0.5)/50)</f>
        <v>0</v>
      </c>
      <c r="K1444" s="4">
        <f>VLOOKUP(J1444, '1_Rate_Changes'!$A$2:$C$100, 3, TRUE)</f>
        <v>0</v>
      </c>
    </row>
    <row r="1445" spans="7:11">
      <c r="G1445">
        <v>28</v>
      </c>
      <c r="H1445">
        <v>42</v>
      </c>
      <c r="I1445" s="2">
        <f>INT(DATE($B$3,1,1) + (28+0.5)*365/50)</f>
        <v>0</v>
      </c>
      <c r="J1445" s="2">
        <f>I1445 - INT(ROUND($B$4 * 30.4375, 0) * (42+0.5)/50)</f>
        <v>0</v>
      </c>
      <c r="K1445" s="4">
        <f>VLOOKUP(J1445, '1_Rate_Changes'!$A$2:$C$100, 3, TRUE)</f>
        <v>0</v>
      </c>
    </row>
    <row r="1446" spans="7:11">
      <c r="G1446">
        <v>28</v>
      </c>
      <c r="H1446">
        <v>43</v>
      </c>
      <c r="I1446" s="2">
        <f>INT(DATE($B$3,1,1) + (28+0.5)*365/50)</f>
        <v>0</v>
      </c>
      <c r="J1446" s="2">
        <f>I1446 - INT(ROUND($B$4 * 30.4375, 0) * (43+0.5)/50)</f>
        <v>0</v>
      </c>
      <c r="K1446" s="4">
        <f>VLOOKUP(J1446, '1_Rate_Changes'!$A$2:$C$100, 3, TRUE)</f>
        <v>0</v>
      </c>
    </row>
    <row r="1447" spans="7:11">
      <c r="G1447">
        <v>28</v>
      </c>
      <c r="H1447">
        <v>44</v>
      </c>
      <c r="I1447" s="2">
        <f>INT(DATE($B$3,1,1) + (28+0.5)*365/50)</f>
        <v>0</v>
      </c>
      <c r="J1447" s="2">
        <f>I1447 - INT(ROUND($B$4 * 30.4375, 0) * (44+0.5)/50)</f>
        <v>0</v>
      </c>
      <c r="K1447" s="4">
        <f>VLOOKUP(J1447, '1_Rate_Changes'!$A$2:$C$100, 3, TRUE)</f>
        <v>0</v>
      </c>
    </row>
    <row r="1448" spans="7:11">
      <c r="G1448">
        <v>28</v>
      </c>
      <c r="H1448">
        <v>45</v>
      </c>
      <c r="I1448" s="2">
        <f>INT(DATE($B$3,1,1) + (28+0.5)*365/50)</f>
        <v>0</v>
      </c>
      <c r="J1448" s="2">
        <f>I1448 - INT(ROUND($B$4 * 30.4375, 0) * (45+0.5)/50)</f>
        <v>0</v>
      </c>
      <c r="K1448" s="4">
        <f>VLOOKUP(J1448, '1_Rate_Changes'!$A$2:$C$100, 3, TRUE)</f>
        <v>0</v>
      </c>
    </row>
    <row r="1449" spans="7:11">
      <c r="G1449">
        <v>28</v>
      </c>
      <c r="H1449">
        <v>46</v>
      </c>
      <c r="I1449" s="2">
        <f>INT(DATE($B$3,1,1) + (28+0.5)*365/50)</f>
        <v>0</v>
      </c>
      <c r="J1449" s="2">
        <f>I1449 - INT(ROUND($B$4 * 30.4375, 0) * (46+0.5)/50)</f>
        <v>0</v>
      </c>
      <c r="K1449" s="4">
        <f>VLOOKUP(J1449, '1_Rate_Changes'!$A$2:$C$100, 3, TRUE)</f>
        <v>0</v>
      </c>
    </row>
    <row r="1450" spans="7:11">
      <c r="G1450">
        <v>28</v>
      </c>
      <c r="H1450">
        <v>47</v>
      </c>
      <c r="I1450" s="2">
        <f>INT(DATE($B$3,1,1) + (28+0.5)*365/50)</f>
        <v>0</v>
      </c>
      <c r="J1450" s="2">
        <f>I1450 - INT(ROUND($B$4 * 30.4375, 0) * (47+0.5)/50)</f>
        <v>0</v>
      </c>
      <c r="K1450" s="4">
        <f>VLOOKUP(J1450, '1_Rate_Changes'!$A$2:$C$100, 3, TRUE)</f>
        <v>0</v>
      </c>
    </row>
    <row r="1451" spans="7:11">
      <c r="G1451">
        <v>28</v>
      </c>
      <c r="H1451">
        <v>48</v>
      </c>
      <c r="I1451" s="2">
        <f>INT(DATE($B$3,1,1) + (28+0.5)*365/50)</f>
        <v>0</v>
      </c>
      <c r="J1451" s="2">
        <f>I1451 - INT(ROUND($B$4 * 30.4375, 0) * (48+0.5)/50)</f>
        <v>0</v>
      </c>
      <c r="K1451" s="4">
        <f>VLOOKUP(J1451, '1_Rate_Changes'!$A$2:$C$100, 3, TRUE)</f>
        <v>0</v>
      </c>
    </row>
    <row r="1452" spans="7:11">
      <c r="G1452">
        <v>28</v>
      </c>
      <c r="H1452">
        <v>49</v>
      </c>
      <c r="I1452" s="2">
        <f>INT(DATE($B$3,1,1) + (28+0.5)*365/50)</f>
        <v>0</v>
      </c>
      <c r="J1452" s="2">
        <f>I1452 - INT(ROUND($B$4 * 30.4375, 0) * (49+0.5)/50)</f>
        <v>0</v>
      </c>
      <c r="K1452" s="4">
        <f>VLOOKUP(J1452, '1_Rate_Changes'!$A$2:$C$100, 3, TRUE)</f>
        <v>0</v>
      </c>
    </row>
    <row r="1453" spans="7:11">
      <c r="G1453">
        <v>29</v>
      </c>
      <c r="H1453">
        <v>0</v>
      </c>
      <c r="I1453" s="2">
        <f>INT(DATE($B$3,1,1) + (29+0.5)*365/50)</f>
        <v>0</v>
      </c>
      <c r="J1453" s="2">
        <f>I1453 - INT(ROUND($B$4 * 30.4375, 0) * (0+0.5)/50)</f>
        <v>0</v>
      </c>
      <c r="K1453" s="4">
        <f>VLOOKUP(J1453, '1_Rate_Changes'!$A$2:$C$100, 3, TRUE)</f>
        <v>0</v>
      </c>
    </row>
    <row r="1454" spans="7:11">
      <c r="G1454">
        <v>29</v>
      </c>
      <c r="H1454">
        <v>1</v>
      </c>
      <c r="I1454" s="2">
        <f>INT(DATE($B$3,1,1) + (29+0.5)*365/50)</f>
        <v>0</v>
      </c>
      <c r="J1454" s="2">
        <f>I1454 - INT(ROUND($B$4 * 30.4375, 0) * (1+0.5)/50)</f>
        <v>0</v>
      </c>
      <c r="K1454" s="4">
        <f>VLOOKUP(J1454, '1_Rate_Changes'!$A$2:$C$100, 3, TRUE)</f>
        <v>0</v>
      </c>
    </row>
    <row r="1455" spans="7:11">
      <c r="G1455">
        <v>29</v>
      </c>
      <c r="H1455">
        <v>2</v>
      </c>
      <c r="I1455" s="2">
        <f>INT(DATE($B$3,1,1) + (29+0.5)*365/50)</f>
        <v>0</v>
      </c>
      <c r="J1455" s="2">
        <f>I1455 - INT(ROUND($B$4 * 30.4375, 0) * (2+0.5)/50)</f>
        <v>0</v>
      </c>
      <c r="K1455" s="4">
        <f>VLOOKUP(J1455, '1_Rate_Changes'!$A$2:$C$100, 3, TRUE)</f>
        <v>0</v>
      </c>
    </row>
    <row r="1456" spans="7:11">
      <c r="G1456">
        <v>29</v>
      </c>
      <c r="H1456">
        <v>3</v>
      </c>
      <c r="I1456" s="2">
        <f>INT(DATE($B$3,1,1) + (29+0.5)*365/50)</f>
        <v>0</v>
      </c>
      <c r="J1456" s="2">
        <f>I1456 - INT(ROUND($B$4 * 30.4375, 0) * (3+0.5)/50)</f>
        <v>0</v>
      </c>
      <c r="K1456" s="4">
        <f>VLOOKUP(J1456, '1_Rate_Changes'!$A$2:$C$100, 3, TRUE)</f>
        <v>0</v>
      </c>
    </row>
    <row r="1457" spans="7:11">
      <c r="G1457">
        <v>29</v>
      </c>
      <c r="H1457">
        <v>4</v>
      </c>
      <c r="I1457" s="2">
        <f>INT(DATE($B$3,1,1) + (29+0.5)*365/50)</f>
        <v>0</v>
      </c>
      <c r="J1457" s="2">
        <f>I1457 - INT(ROUND($B$4 * 30.4375, 0) * (4+0.5)/50)</f>
        <v>0</v>
      </c>
      <c r="K1457" s="4">
        <f>VLOOKUP(J1457, '1_Rate_Changes'!$A$2:$C$100, 3, TRUE)</f>
        <v>0</v>
      </c>
    </row>
    <row r="1458" spans="7:11">
      <c r="G1458">
        <v>29</v>
      </c>
      <c r="H1458">
        <v>5</v>
      </c>
      <c r="I1458" s="2">
        <f>INT(DATE($B$3,1,1) + (29+0.5)*365/50)</f>
        <v>0</v>
      </c>
      <c r="J1458" s="2">
        <f>I1458 - INT(ROUND($B$4 * 30.4375, 0) * (5+0.5)/50)</f>
        <v>0</v>
      </c>
      <c r="K1458" s="4">
        <f>VLOOKUP(J1458, '1_Rate_Changes'!$A$2:$C$100, 3, TRUE)</f>
        <v>0</v>
      </c>
    </row>
    <row r="1459" spans="7:11">
      <c r="G1459">
        <v>29</v>
      </c>
      <c r="H1459">
        <v>6</v>
      </c>
      <c r="I1459" s="2">
        <f>INT(DATE($B$3,1,1) + (29+0.5)*365/50)</f>
        <v>0</v>
      </c>
      <c r="J1459" s="2">
        <f>I1459 - INT(ROUND($B$4 * 30.4375, 0) * (6+0.5)/50)</f>
        <v>0</v>
      </c>
      <c r="K1459" s="4">
        <f>VLOOKUP(J1459, '1_Rate_Changes'!$A$2:$C$100, 3, TRUE)</f>
        <v>0</v>
      </c>
    </row>
    <row r="1460" spans="7:11">
      <c r="G1460">
        <v>29</v>
      </c>
      <c r="H1460">
        <v>7</v>
      </c>
      <c r="I1460" s="2">
        <f>INT(DATE($B$3,1,1) + (29+0.5)*365/50)</f>
        <v>0</v>
      </c>
      <c r="J1460" s="2">
        <f>I1460 - INT(ROUND($B$4 * 30.4375, 0) * (7+0.5)/50)</f>
        <v>0</v>
      </c>
      <c r="K1460" s="4">
        <f>VLOOKUP(J1460, '1_Rate_Changes'!$A$2:$C$100, 3, TRUE)</f>
        <v>0</v>
      </c>
    </row>
    <row r="1461" spans="7:11">
      <c r="G1461">
        <v>29</v>
      </c>
      <c r="H1461">
        <v>8</v>
      </c>
      <c r="I1461" s="2">
        <f>INT(DATE($B$3,1,1) + (29+0.5)*365/50)</f>
        <v>0</v>
      </c>
      <c r="J1461" s="2">
        <f>I1461 - INT(ROUND($B$4 * 30.4375, 0) * (8+0.5)/50)</f>
        <v>0</v>
      </c>
      <c r="K1461" s="4">
        <f>VLOOKUP(J1461, '1_Rate_Changes'!$A$2:$C$100, 3, TRUE)</f>
        <v>0</v>
      </c>
    </row>
    <row r="1462" spans="7:11">
      <c r="G1462">
        <v>29</v>
      </c>
      <c r="H1462">
        <v>9</v>
      </c>
      <c r="I1462" s="2">
        <f>INT(DATE($B$3,1,1) + (29+0.5)*365/50)</f>
        <v>0</v>
      </c>
      <c r="J1462" s="2">
        <f>I1462 - INT(ROUND($B$4 * 30.4375, 0) * (9+0.5)/50)</f>
        <v>0</v>
      </c>
      <c r="K1462" s="4">
        <f>VLOOKUP(J1462, '1_Rate_Changes'!$A$2:$C$100, 3, TRUE)</f>
        <v>0</v>
      </c>
    </row>
    <row r="1463" spans="7:11">
      <c r="G1463">
        <v>29</v>
      </c>
      <c r="H1463">
        <v>10</v>
      </c>
      <c r="I1463" s="2">
        <f>INT(DATE($B$3,1,1) + (29+0.5)*365/50)</f>
        <v>0</v>
      </c>
      <c r="J1463" s="2">
        <f>I1463 - INT(ROUND($B$4 * 30.4375, 0) * (10+0.5)/50)</f>
        <v>0</v>
      </c>
      <c r="K1463" s="4">
        <f>VLOOKUP(J1463, '1_Rate_Changes'!$A$2:$C$100, 3, TRUE)</f>
        <v>0</v>
      </c>
    </row>
    <row r="1464" spans="7:11">
      <c r="G1464">
        <v>29</v>
      </c>
      <c r="H1464">
        <v>11</v>
      </c>
      <c r="I1464" s="2">
        <f>INT(DATE($B$3,1,1) + (29+0.5)*365/50)</f>
        <v>0</v>
      </c>
      <c r="J1464" s="2">
        <f>I1464 - INT(ROUND($B$4 * 30.4375, 0) * (11+0.5)/50)</f>
        <v>0</v>
      </c>
      <c r="K1464" s="4">
        <f>VLOOKUP(J1464, '1_Rate_Changes'!$A$2:$C$100, 3, TRUE)</f>
        <v>0</v>
      </c>
    </row>
    <row r="1465" spans="7:11">
      <c r="G1465">
        <v>29</v>
      </c>
      <c r="H1465">
        <v>12</v>
      </c>
      <c r="I1465" s="2">
        <f>INT(DATE($B$3,1,1) + (29+0.5)*365/50)</f>
        <v>0</v>
      </c>
      <c r="J1465" s="2">
        <f>I1465 - INT(ROUND($B$4 * 30.4375, 0) * (12+0.5)/50)</f>
        <v>0</v>
      </c>
      <c r="K1465" s="4">
        <f>VLOOKUP(J1465, '1_Rate_Changes'!$A$2:$C$100, 3, TRUE)</f>
        <v>0</v>
      </c>
    </row>
    <row r="1466" spans="7:11">
      <c r="G1466">
        <v>29</v>
      </c>
      <c r="H1466">
        <v>13</v>
      </c>
      <c r="I1466" s="2">
        <f>INT(DATE($B$3,1,1) + (29+0.5)*365/50)</f>
        <v>0</v>
      </c>
      <c r="J1466" s="2">
        <f>I1466 - INT(ROUND($B$4 * 30.4375, 0) * (13+0.5)/50)</f>
        <v>0</v>
      </c>
      <c r="K1466" s="4">
        <f>VLOOKUP(J1466, '1_Rate_Changes'!$A$2:$C$100, 3, TRUE)</f>
        <v>0</v>
      </c>
    </row>
    <row r="1467" spans="7:11">
      <c r="G1467">
        <v>29</v>
      </c>
      <c r="H1467">
        <v>14</v>
      </c>
      <c r="I1467" s="2">
        <f>INT(DATE($B$3,1,1) + (29+0.5)*365/50)</f>
        <v>0</v>
      </c>
      <c r="J1467" s="2">
        <f>I1467 - INT(ROUND($B$4 * 30.4375, 0) * (14+0.5)/50)</f>
        <v>0</v>
      </c>
      <c r="K1467" s="4">
        <f>VLOOKUP(J1467, '1_Rate_Changes'!$A$2:$C$100, 3, TRUE)</f>
        <v>0</v>
      </c>
    </row>
    <row r="1468" spans="7:11">
      <c r="G1468">
        <v>29</v>
      </c>
      <c r="H1468">
        <v>15</v>
      </c>
      <c r="I1468" s="2">
        <f>INT(DATE($B$3,1,1) + (29+0.5)*365/50)</f>
        <v>0</v>
      </c>
      <c r="J1468" s="2">
        <f>I1468 - INT(ROUND($B$4 * 30.4375, 0) * (15+0.5)/50)</f>
        <v>0</v>
      </c>
      <c r="K1468" s="4">
        <f>VLOOKUP(J1468, '1_Rate_Changes'!$A$2:$C$100, 3, TRUE)</f>
        <v>0</v>
      </c>
    </row>
    <row r="1469" spans="7:11">
      <c r="G1469">
        <v>29</v>
      </c>
      <c r="H1469">
        <v>16</v>
      </c>
      <c r="I1469" s="2">
        <f>INT(DATE($B$3,1,1) + (29+0.5)*365/50)</f>
        <v>0</v>
      </c>
      <c r="J1469" s="2">
        <f>I1469 - INT(ROUND($B$4 * 30.4375, 0) * (16+0.5)/50)</f>
        <v>0</v>
      </c>
      <c r="K1469" s="4">
        <f>VLOOKUP(J1469, '1_Rate_Changes'!$A$2:$C$100, 3, TRUE)</f>
        <v>0</v>
      </c>
    </row>
    <row r="1470" spans="7:11">
      <c r="G1470">
        <v>29</v>
      </c>
      <c r="H1470">
        <v>17</v>
      </c>
      <c r="I1470" s="2">
        <f>INT(DATE($B$3,1,1) + (29+0.5)*365/50)</f>
        <v>0</v>
      </c>
      <c r="J1470" s="2">
        <f>I1470 - INT(ROUND($B$4 * 30.4375, 0) * (17+0.5)/50)</f>
        <v>0</v>
      </c>
      <c r="K1470" s="4">
        <f>VLOOKUP(J1470, '1_Rate_Changes'!$A$2:$C$100, 3, TRUE)</f>
        <v>0</v>
      </c>
    </row>
    <row r="1471" spans="7:11">
      <c r="G1471">
        <v>29</v>
      </c>
      <c r="H1471">
        <v>18</v>
      </c>
      <c r="I1471" s="2">
        <f>INT(DATE($B$3,1,1) + (29+0.5)*365/50)</f>
        <v>0</v>
      </c>
      <c r="J1471" s="2">
        <f>I1471 - INT(ROUND($B$4 * 30.4375, 0) * (18+0.5)/50)</f>
        <v>0</v>
      </c>
      <c r="K1471" s="4">
        <f>VLOOKUP(J1471, '1_Rate_Changes'!$A$2:$C$100, 3, TRUE)</f>
        <v>0</v>
      </c>
    </row>
    <row r="1472" spans="7:11">
      <c r="G1472">
        <v>29</v>
      </c>
      <c r="H1472">
        <v>19</v>
      </c>
      <c r="I1472" s="2">
        <f>INT(DATE($B$3,1,1) + (29+0.5)*365/50)</f>
        <v>0</v>
      </c>
      <c r="J1472" s="2">
        <f>I1472 - INT(ROUND($B$4 * 30.4375, 0) * (19+0.5)/50)</f>
        <v>0</v>
      </c>
      <c r="K1472" s="4">
        <f>VLOOKUP(J1472, '1_Rate_Changes'!$A$2:$C$100, 3, TRUE)</f>
        <v>0</v>
      </c>
    </row>
    <row r="1473" spans="7:11">
      <c r="G1473">
        <v>29</v>
      </c>
      <c r="H1473">
        <v>20</v>
      </c>
      <c r="I1473" s="2">
        <f>INT(DATE($B$3,1,1) + (29+0.5)*365/50)</f>
        <v>0</v>
      </c>
      <c r="J1473" s="2">
        <f>I1473 - INT(ROUND($B$4 * 30.4375, 0) * (20+0.5)/50)</f>
        <v>0</v>
      </c>
      <c r="K1473" s="4">
        <f>VLOOKUP(J1473, '1_Rate_Changes'!$A$2:$C$100, 3, TRUE)</f>
        <v>0</v>
      </c>
    </row>
    <row r="1474" spans="7:11">
      <c r="G1474">
        <v>29</v>
      </c>
      <c r="H1474">
        <v>21</v>
      </c>
      <c r="I1474" s="2">
        <f>INT(DATE($B$3,1,1) + (29+0.5)*365/50)</f>
        <v>0</v>
      </c>
      <c r="J1474" s="2">
        <f>I1474 - INT(ROUND($B$4 * 30.4375, 0) * (21+0.5)/50)</f>
        <v>0</v>
      </c>
      <c r="K1474" s="4">
        <f>VLOOKUP(J1474, '1_Rate_Changes'!$A$2:$C$100, 3, TRUE)</f>
        <v>0</v>
      </c>
    </row>
    <row r="1475" spans="7:11">
      <c r="G1475">
        <v>29</v>
      </c>
      <c r="H1475">
        <v>22</v>
      </c>
      <c r="I1475" s="2">
        <f>INT(DATE($B$3,1,1) + (29+0.5)*365/50)</f>
        <v>0</v>
      </c>
      <c r="J1475" s="2">
        <f>I1475 - INT(ROUND($B$4 * 30.4375, 0) * (22+0.5)/50)</f>
        <v>0</v>
      </c>
      <c r="K1475" s="4">
        <f>VLOOKUP(J1475, '1_Rate_Changes'!$A$2:$C$100, 3, TRUE)</f>
        <v>0</v>
      </c>
    </row>
    <row r="1476" spans="7:11">
      <c r="G1476">
        <v>29</v>
      </c>
      <c r="H1476">
        <v>23</v>
      </c>
      <c r="I1476" s="2">
        <f>INT(DATE($B$3,1,1) + (29+0.5)*365/50)</f>
        <v>0</v>
      </c>
      <c r="J1476" s="2">
        <f>I1476 - INT(ROUND($B$4 * 30.4375, 0) * (23+0.5)/50)</f>
        <v>0</v>
      </c>
      <c r="K1476" s="4">
        <f>VLOOKUP(J1476, '1_Rate_Changes'!$A$2:$C$100, 3, TRUE)</f>
        <v>0</v>
      </c>
    </row>
    <row r="1477" spans="7:11">
      <c r="G1477">
        <v>29</v>
      </c>
      <c r="H1477">
        <v>24</v>
      </c>
      <c r="I1477" s="2">
        <f>INT(DATE($B$3,1,1) + (29+0.5)*365/50)</f>
        <v>0</v>
      </c>
      <c r="J1477" s="2">
        <f>I1477 - INT(ROUND($B$4 * 30.4375, 0) * (24+0.5)/50)</f>
        <v>0</v>
      </c>
      <c r="K1477" s="4">
        <f>VLOOKUP(J1477, '1_Rate_Changes'!$A$2:$C$100, 3, TRUE)</f>
        <v>0</v>
      </c>
    </row>
    <row r="1478" spans="7:11">
      <c r="G1478">
        <v>29</v>
      </c>
      <c r="H1478">
        <v>25</v>
      </c>
      <c r="I1478" s="2">
        <f>INT(DATE($B$3,1,1) + (29+0.5)*365/50)</f>
        <v>0</v>
      </c>
      <c r="J1478" s="2">
        <f>I1478 - INT(ROUND($B$4 * 30.4375, 0) * (25+0.5)/50)</f>
        <v>0</v>
      </c>
      <c r="K1478" s="4">
        <f>VLOOKUP(J1478, '1_Rate_Changes'!$A$2:$C$100, 3, TRUE)</f>
        <v>0</v>
      </c>
    </row>
    <row r="1479" spans="7:11">
      <c r="G1479">
        <v>29</v>
      </c>
      <c r="H1479">
        <v>26</v>
      </c>
      <c r="I1479" s="2">
        <f>INT(DATE($B$3,1,1) + (29+0.5)*365/50)</f>
        <v>0</v>
      </c>
      <c r="J1479" s="2">
        <f>I1479 - INT(ROUND($B$4 * 30.4375, 0) * (26+0.5)/50)</f>
        <v>0</v>
      </c>
      <c r="K1479" s="4">
        <f>VLOOKUP(J1479, '1_Rate_Changes'!$A$2:$C$100, 3, TRUE)</f>
        <v>0</v>
      </c>
    </row>
    <row r="1480" spans="7:11">
      <c r="G1480">
        <v>29</v>
      </c>
      <c r="H1480">
        <v>27</v>
      </c>
      <c r="I1480" s="2">
        <f>INT(DATE($B$3,1,1) + (29+0.5)*365/50)</f>
        <v>0</v>
      </c>
      <c r="J1480" s="2">
        <f>I1480 - INT(ROUND($B$4 * 30.4375, 0) * (27+0.5)/50)</f>
        <v>0</v>
      </c>
      <c r="K1480" s="4">
        <f>VLOOKUP(J1480, '1_Rate_Changes'!$A$2:$C$100, 3, TRUE)</f>
        <v>0</v>
      </c>
    </row>
    <row r="1481" spans="7:11">
      <c r="G1481">
        <v>29</v>
      </c>
      <c r="H1481">
        <v>28</v>
      </c>
      <c r="I1481" s="2">
        <f>INT(DATE($B$3,1,1) + (29+0.5)*365/50)</f>
        <v>0</v>
      </c>
      <c r="J1481" s="2">
        <f>I1481 - INT(ROUND($B$4 * 30.4375, 0) * (28+0.5)/50)</f>
        <v>0</v>
      </c>
      <c r="K1481" s="4">
        <f>VLOOKUP(J1481, '1_Rate_Changes'!$A$2:$C$100, 3, TRUE)</f>
        <v>0</v>
      </c>
    </row>
    <row r="1482" spans="7:11">
      <c r="G1482">
        <v>29</v>
      </c>
      <c r="H1482">
        <v>29</v>
      </c>
      <c r="I1482" s="2">
        <f>INT(DATE($B$3,1,1) + (29+0.5)*365/50)</f>
        <v>0</v>
      </c>
      <c r="J1482" s="2">
        <f>I1482 - INT(ROUND($B$4 * 30.4375, 0) * (29+0.5)/50)</f>
        <v>0</v>
      </c>
      <c r="K1482" s="4">
        <f>VLOOKUP(J1482, '1_Rate_Changes'!$A$2:$C$100, 3, TRUE)</f>
        <v>0</v>
      </c>
    </row>
    <row r="1483" spans="7:11">
      <c r="G1483">
        <v>29</v>
      </c>
      <c r="H1483">
        <v>30</v>
      </c>
      <c r="I1483" s="2">
        <f>INT(DATE($B$3,1,1) + (29+0.5)*365/50)</f>
        <v>0</v>
      </c>
      <c r="J1483" s="2">
        <f>I1483 - INT(ROUND($B$4 * 30.4375, 0) * (30+0.5)/50)</f>
        <v>0</v>
      </c>
      <c r="K1483" s="4">
        <f>VLOOKUP(J1483, '1_Rate_Changes'!$A$2:$C$100, 3, TRUE)</f>
        <v>0</v>
      </c>
    </row>
    <row r="1484" spans="7:11">
      <c r="G1484">
        <v>29</v>
      </c>
      <c r="H1484">
        <v>31</v>
      </c>
      <c r="I1484" s="2">
        <f>INT(DATE($B$3,1,1) + (29+0.5)*365/50)</f>
        <v>0</v>
      </c>
      <c r="J1484" s="2">
        <f>I1484 - INT(ROUND($B$4 * 30.4375, 0) * (31+0.5)/50)</f>
        <v>0</v>
      </c>
      <c r="K1484" s="4">
        <f>VLOOKUP(J1484, '1_Rate_Changes'!$A$2:$C$100, 3, TRUE)</f>
        <v>0</v>
      </c>
    </row>
    <row r="1485" spans="7:11">
      <c r="G1485">
        <v>29</v>
      </c>
      <c r="H1485">
        <v>32</v>
      </c>
      <c r="I1485" s="2">
        <f>INT(DATE($B$3,1,1) + (29+0.5)*365/50)</f>
        <v>0</v>
      </c>
      <c r="J1485" s="2">
        <f>I1485 - INT(ROUND($B$4 * 30.4375, 0) * (32+0.5)/50)</f>
        <v>0</v>
      </c>
      <c r="K1485" s="4">
        <f>VLOOKUP(J1485, '1_Rate_Changes'!$A$2:$C$100, 3, TRUE)</f>
        <v>0</v>
      </c>
    </row>
    <row r="1486" spans="7:11">
      <c r="G1486">
        <v>29</v>
      </c>
      <c r="H1486">
        <v>33</v>
      </c>
      <c r="I1486" s="2">
        <f>INT(DATE($B$3,1,1) + (29+0.5)*365/50)</f>
        <v>0</v>
      </c>
      <c r="J1486" s="2">
        <f>I1486 - INT(ROUND($B$4 * 30.4375, 0) * (33+0.5)/50)</f>
        <v>0</v>
      </c>
      <c r="K1486" s="4">
        <f>VLOOKUP(J1486, '1_Rate_Changes'!$A$2:$C$100, 3, TRUE)</f>
        <v>0</v>
      </c>
    </row>
    <row r="1487" spans="7:11">
      <c r="G1487">
        <v>29</v>
      </c>
      <c r="H1487">
        <v>34</v>
      </c>
      <c r="I1487" s="2">
        <f>INT(DATE($B$3,1,1) + (29+0.5)*365/50)</f>
        <v>0</v>
      </c>
      <c r="J1487" s="2">
        <f>I1487 - INT(ROUND($B$4 * 30.4375, 0) * (34+0.5)/50)</f>
        <v>0</v>
      </c>
      <c r="K1487" s="4">
        <f>VLOOKUP(J1487, '1_Rate_Changes'!$A$2:$C$100, 3, TRUE)</f>
        <v>0</v>
      </c>
    </row>
    <row r="1488" spans="7:11">
      <c r="G1488">
        <v>29</v>
      </c>
      <c r="H1488">
        <v>35</v>
      </c>
      <c r="I1488" s="2">
        <f>INT(DATE($B$3,1,1) + (29+0.5)*365/50)</f>
        <v>0</v>
      </c>
      <c r="J1488" s="2">
        <f>I1488 - INT(ROUND($B$4 * 30.4375, 0) * (35+0.5)/50)</f>
        <v>0</v>
      </c>
      <c r="K1488" s="4">
        <f>VLOOKUP(J1488, '1_Rate_Changes'!$A$2:$C$100, 3, TRUE)</f>
        <v>0</v>
      </c>
    </row>
    <row r="1489" spans="7:11">
      <c r="G1489">
        <v>29</v>
      </c>
      <c r="H1489">
        <v>36</v>
      </c>
      <c r="I1489" s="2">
        <f>INT(DATE($B$3,1,1) + (29+0.5)*365/50)</f>
        <v>0</v>
      </c>
      <c r="J1489" s="2">
        <f>I1489 - INT(ROUND($B$4 * 30.4375, 0) * (36+0.5)/50)</f>
        <v>0</v>
      </c>
      <c r="K1489" s="4">
        <f>VLOOKUP(J1489, '1_Rate_Changes'!$A$2:$C$100, 3, TRUE)</f>
        <v>0</v>
      </c>
    </row>
    <row r="1490" spans="7:11">
      <c r="G1490">
        <v>29</v>
      </c>
      <c r="H1490">
        <v>37</v>
      </c>
      <c r="I1490" s="2">
        <f>INT(DATE($B$3,1,1) + (29+0.5)*365/50)</f>
        <v>0</v>
      </c>
      <c r="J1490" s="2">
        <f>I1490 - INT(ROUND($B$4 * 30.4375, 0) * (37+0.5)/50)</f>
        <v>0</v>
      </c>
      <c r="K1490" s="4">
        <f>VLOOKUP(J1490, '1_Rate_Changes'!$A$2:$C$100, 3, TRUE)</f>
        <v>0</v>
      </c>
    </row>
    <row r="1491" spans="7:11">
      <c r="G1491">
        <v>29</v>
      </c>
      <c r="H1491">
        <v>38</v>
      </c>
      <c r="I1491" s="2">
        <f>INT(DATE($B$3,1,1) + (29+0.5)*365/50)</f>
        <v>0</v>
      </c>
      <c r="J1491" s="2">
        <f>I1491 - INT(ROUND($B$4 * 30.4375, 0) * (38+0.5)/50)</f>
        <v>0</v>
      </c>
      <c r="K1491" s="4">
        <f>VLOOKUP(J1491, '1_Rate_Changes'!$A$2:$C$100, 3, TRUE)</f>
        <v>0</v>
      </c>
    </row>
    <row r="1492" spans="7:11">
      <c r="G1492">
        <v>29</v>
      </c>
      <c r="H1492">
        <v>39</v>
      </c>
      <c r="I1492" s="2">
        <f>INT(DATE($B$3,1,1) + (29+0.5)*365/50)</f>
        <v>0</v>
      </c>
      <c r="J1492" s="2">
        <f>I1492 - INT(ROUND($B$4 * 30.4375, 0) * (39+0.5)/50)</f>
        <v>0</v>
      </c>
      <c r="K1492" s="4">
        <f>VLOOKUP(J1492, '1_Rate_Changes'!$A$2:$C$100, 3, TRUE)</f>
        <v>0</v>
      </c>
    </row>
    <row r="1493" spans="7:11">
      <c r="G1493">
        <v>29</v>
      </c>
      <c r="H1493">
        <v>40</v>
      </c>
      <c r="I1493" s="2">
        <f>INT(DATE($B$3,1,1) + (29+0.5)*365/50)</f>
        <v>0</v>
      </c>
      <c r="J1493" s="2">
        <f>I1493 - INT(ROUND($B$4 * 30.4375, 0) * (40+0.5)/50)</f>
        <v>0</v>
      </c>
      <c r="K1493" s="4">
        <f>VLOOKUP(J1493, '1_Rate_Changes'!$A$2:$C$100, 3, TRUE)</f>
        <v>0</v>
      </c>
    </row>
    <row r="1494" spans="7:11">
      <c r="G1494">
        <v>29</v>
      </c>
      <c r="H1494">
        <v>41</v>
      </c>
      <c r="I1494" s="2">
        <f>INT(DATE($B$3,1,1) + (29+0.5)*365/50)</f>
        <v>0</v>
      </c>
      <c r="J1494" s="2">
        <f>I1494 - INT(ROUND($B$4 * 30.4375, 0) * (41+0.5)/50)</f>
        <v>0</v>
      </c>
      <c r="K1494" s="4">
        <f>VLOOKUP(J1494, '1_Rate_Changes'!$A$2:$C$100, 3, TRUE)</f>
        <v>0</v>
      </c>
    </row>
    <row r="1495" spans="7:11">
      <c r="G1495">
        <v>29</v>
      </c>
      <c r="H1495">
        <v>42</v>
      </c>
      <c r="I1495" s="2">
        <f>INT(DATE($B$3,1,1) + (29+0.5)*365/50)</f>
        <v>0</v>
      </c>
      <c r="J1495" s="2">
        <f>I1495 - INT(ROUND($B$4 * 30.4375, 0) * (42+0.5)/50)</f>
        <v>0</v>
      </c>
      <c r="K1495" s="4">
        <f>VLOOKUP(J1495, '1_Rate_Changes'!$A$2:$C$100, 3, TRUE)</f>
        <v>0</v>
      </c>
    </row>
    <row r="1496" spans="7:11">
      <c r="G1496">
        <v>29</v>
      </c>
      <c r="H1496">
        <v>43</v>
      </c>
      <c r="I1496" s="2">
        <f>INT(DATE($B$3,1,1) + (29+0.5)*365/50)</f>
        <v>0</v>
      </c>
      <c r="J1496" s="2">
        <f>I1496 - INT(ROUND($B$4 * 30.4375, 0) * (43+0.5)/50)</f>
        <v>0</v>
      </c>
      <c r="K1496" s="4">
        <f>VLOOKUP(J1496, '1_Rate_Changes'!$A$2:$C$100, 3, TRUE)</f>
        <v>0</v>
      </c>
    </row>
    <row r="1497" spans="7:11">
      <c r="G1497">
        <v>29</v>
      </c>
      <c r="H1497">
        <v>44</v>
      </c>
      <c r="I1497" s="2">
        <f>INT(DATE($B$3,1,1) + (29+0.5)*365/50)</f>
        <v>0</v>
      </c>
      <c r="J1497" s="2">
        <f>I1497 - INT(ROUND($B$4 * 30.4375, 0) * (44+0.5)/50)</f>
        <v>0</v>
      </c>
      <c r="K1497" s="4">
        <f>VLOOKUP(J1497, '1_Rate_Changes'!$A$2:$C$100, 3, TRUE)</f>
        <v>0</v>
      </c>
    </row>
    <row r="1498" spans="7:11">
      <c r="G1498">
        <v>29</v>
      </c>
      <c r="H1498">
        <v>45</v>
      </c>
      <c r="I1498" s="2">
        <f>INT(DATE($B$3,1,1) + (29+0.5)*365/50)</f>
        <v>0</v>
      </c>
      <c r="J1498" s="2">
        <f>I1498 - INT(ROUND($B$4 * 30.4375, 0) * (45+0.5)/50)</f>
        <v>0</v>
      </c>
      <c r="K1498" s="4">
        <f>VLOOKUP(J1498, '1_Rate_Changes'!$A$2:$C$100, 3, TRUE)</f>
        <v>0</v>
      </c>
    </row>
    <row r="1499" spans="7:11">
      <c r="G1499">
        <v>29</v>
      </c>
      <c r="H1499">
        <v>46</v>
      </c>
      <c r="I1499" s="2">
        <f>INT(DATE($B$3,1,1) + (29+0.5)*365/50)</f>
        <v>0</v>
      </c>
      <c r="J1499" s="2">
        <f>I1499 - INT(ROUND($B$4 * 30.4375, 0) * (46+0.5)/50)</f>
        <v>0</v>
      </c>
      <c r="K1499" s="4">
        <f>VLOOKUP(J1499, '1_Rate_Changes'!$A$2:$C$100, 3, TRUE)</f>
        <v>0</v>
      </c>
    </row>
    <row r="1500" spans="7:11">
      <c r="G1500">
        <v>29</v>
      </c>
      <c r="H1500">
        <v>47</v>
      </c>
      <c r="I1500" s="2">
        <f>INT(DATE($B$3,1,1) + (29+0.5)*365/50)</f>
        <v>0</v>
      </c>
      <c r="J1500" s="2">
        <f>I1500 - INT(ROUND($B$4 * 30.4375, 0) * (47+0.5)/50)</f>
        <v>0</v>
      </c>
      <c r="K1500" s="4">
        <f>VLOOKUP(J1500, '1_Rate_Changes'!$A$2:$C$100, 3, TRUE)</f>
        <v>0</v>
      </c>
    </row>
    <row r="1501" spans="7:11">
      <c r="G1501">
        <v>29</v>
      </c>
      <c r="H1501">
        <v>48</v>
      </c>
      <c r="I1501" s="2">
        <f>INT(DATE($B$3,1,1) + (29+0.5)*365/50)</f>
        <v>0</v>
      </c>
      <c r="J1501" s="2">
        <f>I1501 - INT(ROUND($B$4 * 30.4375, 0) * (48+0.5)/50)</f>
        <v>0</v>
      </c>
      <c r="K1501" s="4">
        <f>VLOOKUP(J1501, '1_Rate_Changes'!$A$2:$C$100, 3, TRUE)</f>
        <v>0</v>
      </c>
    </row>
    <row r="1502" spans="7:11">
      <c r="G1502">
        <v>29</v>
      </c>
      <c r="H1502">
        <v>49</v>
      </c>
      <c r="I1502" s="2">
        <f>INT(DATE($B$3,1,1) + (29+0.5)*365/50)</f>
        <v>0</v>
      </c>
      <c r="J1502" s="2">
        <f>I1502 - INT(ROUND($B$4 * 30.4375, 0) * (49+0.5)/50)</f>
        <v>0</v>
      </c>
      <c r="K1502" s="4">
        <f>VLOOKUP(J1502, '1_Rate_Changes'!$A$2:$C$100, 3, TRUE)</f>
        <v>0</v>
      </c>
    </row>
    <row r="1503" spans="7:11">
      <c r="G1503">
        <v>30</v>
      </c>
      <c r="H1503">
        <v>0</v>
      </c>
      <c r="I1503" s="2">
        <f>INT(DATE($B$3,1,1) + (30+0.5)*365/50)</f>
        <v>0</v>
      </c>
      <c r="J1503" s="2">
        <f>I1503 - INT(ROUND($B$4 * 30.4375, 0) * (0+0.5)/50)</f>
        <v>0</v>
      </c>
      <c r="K1503" s="4">
        <f>VLOOKUP(J1503, '1_Rate_Changes'!$A$2:$C$100, 3, TRUE)</f>
        <v>0</v>
      </c>
    </row>
    <row r="1504" spans="7:11">
      <c r="G1504">
        <v>30</v>
      </c>
      <c r="H1504">
        <v>1</v>
      </c>
      <c r="I1504" s="2">
        <f>INT(DATE($B$3,1,1) + (30+0.5)*365/50)</f>
        <v>0</v>
      </c>
      <c r="J1504" s="2">
        <f>I1504 - INT(ROUND($B$4 * 30.4375, 0) * (1+0.5)/50)</f>
        <v>0</v>
      </c>
      <c r="K1504" s="4">
        <f>VLOOKUP(J1504, '1_Rate_Changes'!$A$2:$C$100, 3, TRUE)</f>
        <v>0</v>
      </c>
    </row>
    <row r="1505" spans="7:11">
      <c r="G1505">
        <v>30</v>
      </c>
      <c r="H1505">
        <v>2</v>
      </c>
      <c r="I1505" s="2">
        <f>INT(DATE($B$3,1,1) + (30+0.5)*365/50)</f>
        <v>0</v>
      </c>
      <c r="J1505" s="2">
        <f>I1505 - INT(ROUND($B$4 * 30.4375, 0) * (2+0.5)/50)</f>
        <v>0</v>
      </c>
      <c r="K1505" s="4">
        <f>VLOOKUP(J1505, '1_Rate_Changes'!$A$2:$C$100, 3, TRUE)</f>
        <v>0</v>
      </c>
    </row>
    <row r="1506" spans="7:11">
      <c r="G1506">
        <v>30</v>
      </c>
      <c r="H1506">
        <v>3</v>
      </c>
      <c r="I1506" s="2">
        <f>INT(DATE($B$3,1,1) + (30+0.5)*365/50)</f>
        <v>0</v>
      </c>
      <c r="J1506" s="2">
        <f>I1506 - INT(ROUND($B$4 * 30.4375, 0) * (3+0.5)/50)</f>
        <v>0</v>
      </c>
      <c r="K1506" s="4">
        <f>VLOOKUP(J1506, '1_Rate_Changes'!$A$2:$C$100, 3, TRUE)</f>
        <v>0</v>
      </c>
    </row>
    <row r="1507" spans="7:11">
      <c r="G1507">
        <v>30</v>
      </c>
      <c r="H1507">
        <v>4</v>
      </c>
      <c r="I1507" s="2">
        <f>INT(DATE($B$3,1,1) + (30+0.5)*365/50)</f>
        <v>0</v>
      </c>
      <c r="J1507" s="2">
        <f>I1507 - INT(ROUND($B$4 * 30.4375, 0) * (4+0.5)/50)</f>
        <v>0</v>
      </c>
      <c r="K1507" s="4">
        <f>VLOOKUP(J1507, '1_Rate_Changes'!$A$2:$C$100, 3, TRUE)</f>
        <v>0</v>
      </c>
    </row>
    <row r="1508" spans="7:11">
      <c r="G1508">
        <v>30</v>
      </c>
      <c r="H1508">
        <v>5</v>
      </c>
      <c r="I1508" s="2">
        <f>INT(DATE($B$3,1,1) + (30+0.5)*365/50)</f>
        <v>0</v>
      </c>
      <c r="J1508" s="2">
        <f>I1508 - INT(ROUND($B$4 * 30.4375, 0) * (5+0.5)/50)</f>
        <v>0</v>
      </c>
      <c r="K1508" s="4">
        <f>VLOOKUP(J1508, '1_Rate_Changes'!$A$2:$C$100, 3, TRUE)</f>
        <v>0</v>
      </c>
    </row>
    <row r="1509" spans="7:11">
      <c r="G1509">
        <v>30</v>
      </c>
      <c r="H1509">
        <v>6</v>
      </c>
      <c r="I1509" s="2">
        <f>INT(DATE($B$3,1,1) + (30+0.5)*365/50)</f>
        <v>0</v>
      </c>
      <c r="J1509" s="2">
        <f>I1509 - INT(ROUND($B$4 * 30.4375, 0) * (6+0.5)/50)</f>
        <v>0</v>
      </c>
      <c r="K1509" s="4">
        <f>VLOOKUP(J1509, '1_Rate_Changes'!$A$2:$C$100, 3, TRUE)</f>
        <v>0</v>
      </c>
    </row>
    <row r="1510" spans="7:11">
      <c r="G1510">
        <v>30</v>
      </c>
      <c r="H1510">
        <v>7</v>
      </c>
      <c r="I1510" s="2">
        <f>INT(DATE($B$3,1,1) + (30+0.5)*365/50)</f>
        <v>0</v>
      </c>
      <c r="J1510" s="2">
        <f>I1510 - INT(ROUND($B$4 * 30.4375, 0) * (7+0.5)/50)</f>
        <v>0</v>
      </c>
      <c r="K1510" s="4">
        <f>VLOOKUP(J1510, '1_Rate_Changes'!$A$2:$C$100, 3, TRUE)</f>
        <v>0</v>
      </c>
    </row>
    <row r="1511" spans="7:11">
      <c r="G1511">
        <v>30</v>
      </c>
      <c r="H1511">
        <v>8</v>
      </c>
      <c r="I1511" s="2">
        <f>INT(DATE($B$3,1,1) + (30+0.5)*365/50)</f>
        <v>0</v>
      </c>
      <c r="J1511" s="2">
        <f>I1511 - INT(ROUND($B$4 * 30.4375, 0) * (8+0.5)/50)</f>
        <v>0</v>
      </c>
      <c r="K1511" s="4">
        <f>VLOOKUP(J1511, '1_Rate_Changes'!$A$2:$C$100, 3, TRUE)</f>
        <v>0</v>
      </c>
    </row>
    <row r="1512" spans="7:11">
      <c r="G1512">
        <v>30</v>
      </c>
      <c r="H1512">
        <v>9</v>
      </c>
      <c r="I1512" s="2">
        <f>INT(DATE($B$3,1,1) + (30+0.5)*365/50)</f>
        <v>0</v>
      </c>
      <c r="J1512" s="2">
        <f>I1512 - INT(ROUND($B$4 * 30.4375, 0) * (9+0.5)/50)</f>
        <v>0</v>
      </c>
      <c r="K1512" s="4">
        <f>VLOOKUP(J1512, '1_Rate_Changes'!$A$2:$C$100, 3, TRUE)</f>
        <v>0</v>
      </c>
    </row>
    <row r="1513" spans="7:11">
      <c r="G1513">
        <v>30</v>
      </c>
      <c r="H1513">
        <v>10</v>
      </c>
      <c r="I1513" s="2">
        <f>INT(DATE($B$3,1,1) + (30+0.5)*365/50)</f>
        <v>0</v>
      </c>
      <c r="J1513" s="2">
        <f>I1513 - INT(ROUND($B$4 * 30.4375, 0) * (10+0.5)/50)</f>
        <v>0</v>
      </c>
      <c r="K1513" s="4">
        <f>VLOOKUP(J1513, '1_Rate_Changes'!$A$2:$C$100, 3, TRUE)</f>
        <v>0</v>
      </c>
    </row>
    <row r="1514" spans="7:11">
      <c r="G1514">
        <v>30</v>
      </c>
      <c r="H1514">
        <v>11</v>
      </c>
      <c r="I1514" s="2">
        <f>INT(DATE($B$3,1,1) + (30+0.5)*365/50)</f>
        <v>0</v>
      </c>
      <c r="J1514" s="2">
        <f>I1514 - INT(ROUND($B$4 * 30.4375, 0) * (11+0.5)/50)</f>
        <v>0</v>
      </c>
      <c r="K1514" s="4">
        <f>VLOOKUP(J1514, '1_Rate_Changes'!$A$2:$C$100, 3, TRUE)</f>
        <v>0</v>
      </c>
    </row>
    <row r="1515" spans="7:11">
      <c r="G1515">
        <v>30</v>
      </c>
      <c r="H1515">
        <v>12</v>
      </c>
      <c r="I1515" s="2">
        <f>INT(DATE($B$3,1,1) + (30+0.5)*365/50)</f>
        <v>0</v>
      </c>
      <c r="J1515" s="2">
        <f>I1515 - INT(ROUND($B$4 * 30.4375, 0) * (12+0.5)/50)</f>
        <v>0</v>
      </c>
      <c r="K1515" s="4">
        <f>VLOOKUP(J1515, '1_Rate_Changes'!$A$2:$C$100, 3, TRUE)</f>
        <v>0</v>
      </c>
    </row>
    <row r="1516" spans="7:11">
      <c r="G1516">
        <v>30</v>
      </c>
      <c r="H1516">
        <v>13</v>
      </c>
      <c r="I1516" s="2">
        <f>INT(DATE($B$3,1,1) + (30+0.5)*365/50)</f>
        <v>0</v>
      </c>
      <c r="J1516" s="2">
        <f>I1516 - INT(ROUND($B$4 * 30.4375, 0) * (13+0.5)/50)</f>
        <v>0</v>
      </c>
      <c r="K1516" s="4">
        <f>VLOOKUP(J1516, '1_Rate_Changes'!$A$2:$C$100, 3, TRUE)</f>
        <v>0</v>
      </c>
    </row>
    <row r="1517" spans="7:11">
      <c r="G1517">
        <v>30</v>
      </c>
      <c r="H1517">
        <v>14</v>
      </c>
      <c r="I1517" s="2">
        <f>INT(DATE($B$3,1,1) + (30+0.5)*365/50)</f>
        <v>0</v>
      </c>
      <c r="J1517" s="2">
        <f>I1517 - INT(ROUND($B$4 * 30.4375, 0) * (14+0.5)/50)</f>
        <v>0</v>
      </c>
      <c r="K1517" s="4">
        <f>VLOOKUP(J1517, '1_Rate_Changes'!$A$2:$C$100, 3, TRUE)</f>
        <v>0</v>
      </c>
    </row>
    <row r="1518" spans="7:11">
      <c r="G1518">
        <v>30</v>
      </c>
      <c r="H1518">
        <v>15</v>
      </c>
      <c r="I1518" s="2">
        <f>INT(DATE($B$3,1,1) + (30+0.5)*365/50)</f>
        <v>0</v>
      </c>
      <c r="J1518" s="2">
        <f>I1518 - INT(ROUND($B$4 * 30.4375, 0) * (15+0.5)/50)</f>
        <v>0</v>
      </c>
      <c r="K1518" s="4">
        <f>VLOOKUP(J1518, '1_Rate_Changes'!$A$2:$C$100, 3, TRUE)</f>
        <v>0</v>
      </c>
    </row>
    <row r="1519" spans="7:11">
      <c r="G1519">
        <v>30</v>
      </c>
      <c r="H1519">
        <v>16</v>
      </c>
      <c r="I1519" s="2">
        <f>INT(DATE($B$3,1,1) + (30+0.5)*365/50)</f>
        <v>0</v>
      </c>
      <c r="J1519" s="2">
        <f>I1519 - INT(ROUND($B$4 * 30.4375, 0) * (16+0.5)/50)</f>
        <v>0</v>
      </c>
      <c r="K1519" s="4">
        <f>VLOOKUP(J1519, '1_Rate_Changes'!$A$2:$C$100, 3, TRUE)</f>
        <v>0</v>
      </c>
    </row>
    <row r="1520" spans="7:11">
      <c r="G1520">
        <v>30</v>
      </c>
      <c r="H1520">
        <v>17</v>
      </c>
      <c r="I1520" s="2">
        <f>INT(DATE($B$3,1,1) + (30+0.5)*365/50)</f>
        <v>0</v>
      </c>
      <c r="J1520" s="2">
        <f>I1520 - INT(ROUND($B$4 * 30.4375, 0) * (17+0.5)/50)</f>
        <v>0</v>
      </c>
      <c r="K1520" s="4">
        <f>VLOOKUP(J1520, '1_Rate_Changes'!$A$2:$C$100, 3, TRUE)</f>
        <v>0</v>
      </c>
    </row>
    <row r="1521" spans="7:11">
      <c r="G1521">
        <v>30</v>
      </c>
      <c r="H1521">
        <v>18</v>
      </c>
      <c r="I1521" s="2">
        <f>INT(DATE($B$3,1,1) + (30+0.5)*365/50)</f>
        <v>0</v>
      </c>
      <c r="J1521" s="2">
        <f>I1521 - INT(ROUND($B$4 * 30.4375, 0) * (18+0.5)/50)</f>
        <v>0</v>
      </c>
      <c r="K1521" s="4">
        <f>VLOOKUP(J1521, '1_Rate_Changes'!$A$2:$C$100, 3, TRUE)</f>
        <v>0</v>
      </c>
    </row>
    <row r="1522" spans="7:11">
      <c r="G1522">
        <v>30</v>
      </c>
      <c r="H1522">
        <v>19</v>
      </c>
      <c r="I1522" s="2">
        <f>INT(DATE($B$3,1,1) + (30+0.5)*365/50)</f>
        <v>0</v>
      </c>
      <c r="J1522" s="2">
        <f>I1522 - INT(ROUND($B$4 * 30.4375, 0) * (19+0.5)/50)</f>
        <v>0</v>
      </c>
      <c r="K1522" s="4">
        <f>VLOOKUP(J1522, '1_Rate_Changes'!$A$2:$C$100, 3, TRUE)</f>
        <v>0</v>
      </c>
    </row>
    <row r="1523" spans="7:11">
      <c r="G1523">
        <v>30</v>
      </c>
      <c r="H1523">
        <v>20</v>
      </c>
      <c r="I1523" s="2">
        <f>INT(DATE($B$3,1,1) + (30+0.5)*365/50)</f>
        <v>0</v>
      </c>
      <c r="J1523" s="2">
        <f>I1523 - INT(ROUND($B$4 * 30.4375, 0) * (20+0.5)/50)</f>
        <v>0</v>
      </c>
      <c r="K1523" s="4">
        <f>VLOOKUP(J1523, '1_Rate_Changes'!$A$2:$C$100, 3, TRUE)</f>
        <v>0</v>
      </c>
    </row>
    <row r="1524" spans="7:11">
      <c r="G1524">
        <v>30</v>
      </c>
      <c r="H1524">
        <v>21</v>
      </c>
      <c r="I1524" s="2">
        <f>INT(DATE($B$3,1,1) + (30+0.5)*365/50)</f>
        <v>0</v>
      </c>
      <c r="J1524" s="2">
        <f>I1524 - INT(ROUND($B$4 * 30.4375, 0) * (21+0.5)/50)</f>
        <v>0</v>
      </c>
      <c r="K1524" s="4">
        <f>VLOOKUP(J1524, '1_Rate_Changes'!$A$2:$C$100, 3, TRUE)</f>
        <v>0</v>
      </c>
    </row>
    <row r="1525" spans="7:11">
      <c r="G1525">
        <v>30</v>
      </c>
      <c r="H1525">
        <v>22</v>
      </c>
      <c r="I1525" s="2">
        <f>INT(DATE($B$3,1,1) + (30+0.5)*365/50)</f>
        <v>0</v>
      </c>
      <c r="J1525" s="2">
        <f>I1525 - INT(ROUND($B$4 * 30.4375, 0) * (22+0.5)/50)</f>
        <v>0</v>
      </c>
      <c r="K1525" s="4">
        <f>VLOOKUP(J1525, '1_Rate_Changes'!$A$2:$C$100, 3, TRUE)</f>
        <v>0</v>
      </c>
    </row>
    <row r="1526" spans="7:11">
      <c r="G1526">
        <v>30</v>
      </c>
      <c r="H1526">
        <v>23</v>
      </c>
      <c r="I1526" s="2">
        <f>INT(DATE($B$3,1,1) + (30+0.5)*365/50)</f>
        <v>0</v>
      </c>
      <c r="J1526" s="2">
        <f>I1526 - INT(ROUND($B$4 * 30.4375, 0) * (23+0.5)/50)</f>
        <v>0</v>
      </c>
      <c r="K1526" s="4">
        <f>VLOOKUP(J1526, '1_Rate_Changes'!$A$2:$C$100, 3, TRUE)</f>
        <v>0</v>
      </c>
    </row>
    <row r="1527" spans="7:11">
      <c r="G1527">
        <v>30</v>
      </c>
      <c r="H1527">
        <v>24</v>
      </c>
      <c r="I1527" s="2">
        <f>INT(DATE($B$3,1,1) + (30+0.5)*365/50)</f>
        <v>0</v>
      </c>
      <c r="J1527" s="2">
        <f>I1527 - INT(ROUND($B$4 * 30.4375, 0) * (24+0.5)/50)</f>
        <v>0</v>
      </c>
      <c r="K1527" s="4">
        <f>VLOOKUP(J1527, '1_Rate_Changes'!$A$2:$C$100, 3, TRUE)</f>
        <v>0</v>
      </c>
    </row>
    <row r="1528" spans="7:11">
      <c r="G1528">
        <v>30</v>
      </c>
      <c r="H1528">
        <v>25</v>
      </c>
      <c r="I1528" s="2">
        <f>INT(DATE($B$3,1,1) + (30+0.5)*365/50)</f>
        <v>0</v>
      </c>
      <c r="J1528" s="2">
        <f>I1528 - INT(ROUND($B$4 * 30.4375, 0) * (25+0.5)/50)</f>
        <v>0</v>
      </c>
      <c r="K1528" s="4">
        <f>VLOOKUP(J1528, '1_Rate_Changes'!$A$2:$C$100, 3, TRUE)</f>
        <v>0</v>
      </c>
    </row>
    <row r="1529" spans="7:11">
      <c r="G1529">
        <v>30</v>
      </c>
      <c r="H1529">
        <v>26</v>
      </c>
      <c r="I1529" s="2">
        <f>INT(DATE($B$3,1,1) + (30+0.5)*365/50)</f>
        <v>0</v>
      </c>
      <c r="J1529" s="2">
        <f>I1529 - INT(ROUND($B$4 * 30.4375, 0) * (26+0.5)/50)</f>
        <v>0</v>
      </c>
      <c r="K1529" s="4">
        <f>VLOOKUP(J1529, '1_Rate_Changes'!$A$2:$C$100, 3, TRUE)</f>
        <v>0</v>
      </c>
    </row>
    <row r="1530" spans="7:11">
      <c r="G1530">
        <v>30</v>
      </c>
      <c r="H1530">
        <v>27</v>
      </c>
      <c r="I1530" s="2">
        <f>INT(DATE($B$3,1,1) + (30+0.5)*365/50)</f>
        <v>0</v>
      </c>
      <c r="J1530" s="2">
        <f>I1530 - INT(ROUND($B$4 * 30.4375, 0) * (27+0.5)/50)</f>
        <v>0</v>
      </c>
      <c r="K1530" s="4">
        <f>VLOOKUP(J1530, '1_Rate_Changes'!$A$2:$C$100, 3, TRUE)</f>
        <v>0</v>
      </c>
    </row>
    <row r="1531" spans="7:11">
      <c r="G1531">
        <v>30</v>
      </c>
      <c r="H1531">
        <v>28</v>
      </c>
      <c r="I1531" s="2">
        <f>INT(DATE($B$3,1,1) + (30+0.5)*365/50)</f>
        <v>0</v>
      </c>
      <c r="J1531" s="2">
        <f>I1531 - INT(ROUND($B$4 * 30.4375, 0) * (28+0.5)/50)</f>
        <v>0</v>
      </c>
      <c r="K1531" s="4">
        <f>VLOOKUP(J1531, '1_Rate_Changes'!$A$2:$C$100, 3, TRUE)</f>
        <v>0</v>
      </c>
    </row>
    <row r="1532" spans="7:11">
      <c r="G1532">
        <v>30</v>
      </c>
      <c r="H1532">
        <v>29</v>
      </c>
      <c r="I1532" s="2">
        <f>INT(DATE($B$3,1,1) + (30+0.5)*365/50)</f>
        <v>0</v>
      </c>
      <c r="J1532" s="2">
        <f>I1532 - INT(ROUND($B$4 * 30.4375, 0) * (29+0.5)/50)</f>
        <v>0</v>
      </c>
      <c r="K1532" s="4">
        <f>VLOOKUP(J1532, '1_Rate_Changes'!$A$2:$C$100, 3, TRUE)</f>
        <v>0</v>
      </c>
    </row>
    <row r="1533" spans="7:11">
      <c r="G1533">
        <v>30</v>
      </c>
      <c r="H1533">
        <v>30</v>
      </c>
      <c r="I1533" s="2">
        <f>INT(DATE($B$3,1,1) + (30+0.5)*365/50)</f>
        <v>0</v>
      </c>
      <c r="J1533" s="2">
        <f>I1533 - INT(ROUND($B$4 * 30.4375, 0) * (30+0.5)/50)</f>
        <v>0</v>
      </c>
      <c r="K1533" s="4">
        <f>VLOOKUP(J1533, '1_Rate_Changes'!$A$2:$C$100, 3, TRUE)</f>
        <v>0</v>
      </c>
    </row>
    <row r="1534" spans="7:11">
      <c r="G1534">
        <v>30</v>
      </c>
      <c r="H1534">
        <v>31</v>
      </c>
      <c r="I1534" s="2">
        <f>INT(DATE($B$3,1,1) + (30+0.5)*365/50)</f>
        <v>0</v>
      </c>
      <c r="J1534" s="2">
        <f>I1534 - INT(ROUND($B$4 * 30.4375, 0) * (31+0.5)/50)</f>
        <v>0</v>
      </c>
      <c r="K1534" s="4">
        <f>VLOOKUP(J1534, '1_Rate_Changes'!$A$2:$C$100, 3, TRUE)</f>
        <v>0</v>
      </c>
    </row>
    <row r="1535" spans="7:11">
      <c r="G1535">
        <v>30</v>
      </c>
      <c r="H1535">
        <v>32</v>
      </c>
      <c r="I1535" s="2">
        <f>INT(DATE($B$3,1,1) + (30+0.5)*365/50)</f>
        <v>0</v>
      </c>
      <c r="J1535" s="2">
        <f>I1535 - INT(ROUND($B$4 * 30.4375, 0) * (32+0.5)/50)</f>
        <v>0</v>
      </c>
      <c r="K1535" s="4">
        <f>VLOOKUP(J1535, '1_Rate_Changes'!$A$2:$C$100, 3, TRUE)</f>
        <v>0</v>
      </c>
    </row>
    <row r="1536" spans="7:11">
      <c r="G1536">
        <v>30</v>
      </c>
      <c r="H1536">
        <v>33</v>
      </c>
      <c r="I1536" s="2">
        <f>INT(DATE($B$3,1,1) + (30+0.5)*365/50)</f>
        <v>0</v>
      </c>
      <c r="J1536" s="2">
        <f>I1536 - INT(ROUND($B$4 * 30.4375, 0) * (33+0.5)/50)</f>
        <v>0</v>
      </c>
      <c r="K1536" s="4">
        <f>VLOOKUP(J1536, '1_Rate_Changes'!$A$2:$C$100, 3, TRUE)</f>
        <v>0</v>
      </c>
    </row>
    <row r="1537" spans="7:11">
      <c r="G1537">
        <v>30</v>
      </c>
      <c r="H1537">
        <v>34</v>
      </c>
      <c r="I1537" s="2">
        <f>INT(DATE($B$3,1,1) + (30+0.5)*365/50)</f>
        <v>0</v>
      </c>
      <c r="J1537" s="2">
        <f>I1537 - INT(ROUND($B$4 * 30.4375, 0) * (34+0.5)/50)</f>
        <v>0</v>
      </c>
      <c r="K1537" s="4">
        <f>VLOOKUP(J1537, '1_Rate_Changes'!$A$2:$C$100, 3, TRUE)</f>
        <v>0</v>
      </c>
    </row>
    <row r="1538" spans="7:11">
      <c r="G1538">
        <v>30</v>
      </c>
      <c r="H1538">
        <v>35</v>
      </c>
      <c r="I1538" s="2">
        <f>INT(DATE($B$3,1,1) + (30+0.5)*365/50)</f>
        <v>0</v>
      </c>
      <c r="J1538" s="2">
        <f>I1538 - INT(ROUND($B$4 * 30.4375, 0) * (35+0.5)/50)</f>
        <v>0</v>
      </c>
      <c r="K1538" s="4">
        <f>VLOOKUP(J1538, '1_Rate_Changes'!$A$2:$C$100, 3, TRUE)</f>
        <v>0</v>
      </c>
    </row>
    <row r="1539" spans="7:11">
      <c r="G1539">
        <v>30</v>
      </c>
      <c r="H1539">
        <v>36</v>
      </c>
      <c r="I1539" s="2">
        <f>INT(DATE($B$3,1,1) + (30+0.5)*365/50)</f>
        <v>0</v>
      </c>
      <c r="J1539" s="2">
        <f>I1539 - INT(ROUND($B$4 * 30.4375, 0) * (36+0.5)/50)</f>
        <v>0</v>
      </c>
      <c r="K1539" s="4">
        <f>VLOOKUP(J1539, '1_Rate_Changes'!$A$2:$C$100, 3, TRUE)</f>
        <v>0</v>
      </c>
    </row>
    <row r="1540" spans="7:11">
      <c r="G1540">
        <v>30</v>
      </c>
      <c r="H1540">
        <v>37</v>
      </c>
      <c r="I1540" s="2">
        <f>INT(DATE($B$3,1,1) + (30+0.5)*365/50)</f>
        <v>0</v>
      </c>
      <c r="J1540" s="2">
        <f>I1540 - INT(ROUND($B$4 * 30.4375, 0) * (37+0.5)/50)</f>
        <v>0</v>
      </c>
      <c r="K1540" s="4">
        <f>VLOOKUP(J1540, '1_Rate_Changes'!$A$2:$C$100, 3, TRUE)</f>
        <v>0</v>
      </c>
    </row>
    <row r="1541" spans="7:11">
      <c r="G1541">
        <v>30</v>
      </c>
      <c r="H1541">
        <v>38</v>
      </c>
      <c r="I1541" s="2">
        <f>INT(DATE($B$3,1,1) + (30+0.5)*365/50)</f>
        <v>0</v>
      </c>
      <c r="J1541" s="2">
        <f>I1541 - INT(ROUND($B$4 * 30.4375, 0) * (38+0.5)/50)</f>
        <v>0</v>
      </c>
      <c r="K1541" s="4">
        <f>VLOOKUP(J1541, '1_Rate_Changes'!$A$2:$C$100, 3, TRUE)</f>
        <v>0</v>
      </c>
    </row>
    <row r="1542" spans="7:11">
      <c r="G1542">
        <v>30</v>
      </c>
      <c r="H1542">
        <v>39</v>
      </c>
      <c r="I1542" s="2">
        <f>INT(DATE($B$3,1,1) + (30+0.5)*365/50)</f>
        <v>0</v>
      </c>
      <c r="J1542" s="2">
        <f>I1542 - INT(ROUND($B$4 * 30.4375, 0) * (39+0.5)/50)</f>
        <v>0</v>
      </c>
      <c r="K1542" s="4">
        <f>VLOOKUP(J1542, '1_Rate_Changes'!$A$2:$C$100, 3, TRUE)</f>
        <v>0</v>
      </c>
    </row>
    <row r="1543" spans="7:11">
      <c r="G1543">
        <v>30</v>
      </c>
      <c r="H1543">
        <v>40</v>
      </c>
      <c r="I1543" s="2">
        <f>INT(DATE($B$3,1,1) + (30+0.5)*365/50)</f>
        <v>0</v>
      </c>
      <c r="J1543" s="2">
        <f>I1543 - INT(ROUND($B$4 * 30.4375, 0) * (40+0.5)/50)</f>
        <v>0</v>
      </c>
      <c r="K1543" s="4">
        <f>VLOOKUP(J1543, '1_Rate_Changes'!$A$2:$C$100, 3, TRUE)</f>
        <v>0</v>
      </c>
    </row>
    <row r="1544" spans="7:11">
      <c r="G1544">
        <v>30</v>
      </c>
      <c r="H1544">
        <v>41</v>
      </c>
      <c r="I1544" s="2">
        <f>INT(DATE($B$3,1,1) + (30+0.5)*365/50)</f>
        <v>0</v>
      </c>
      <c r="J1544" s="2">
        <f>I1544 - INT(ROUND($B$4 * 30.4375, 0) * (41+0.5)/50)</f>
        <v>0</v>
      </c>
      <c r="K1544" s="4">
        <f>VLOOKUP(J1544, '1_Rate_Changes'!$A$2:$C$100, 3, TRUE)</f>
        <v>0</v>
      </c>
    </row>
    <row r="1545" spans="7:11">
      <c r="G1545">
        <v>30</v>
      </c>
      <c r="H1545">
        <v>42</v>
      </c>
      <c r="I1545" s="2">
        <f>INT(DATE($B$3,1,1) + (30+0.5)*365/50)</f>
        <v>0</v>
      </c>
      <c r="J1545" s="2">
        <f>I1545 - INT(ROUND($B$4 * 30.4375, 0) * (42+0.5)/50)</f>
        <v>0</v>
      </c>
      <c r="K1545" s="4">
        <f>VLOOKUP(J1545, '1_Rate_Changes'!$A$2:$C$100, 3, TRUE)</f>
        <v>0</v>
      </c>
    </row>
    <row r="1546" spans="7:11">
      <c r="G1546">
        <v>30</v>
      </c>
      <c r="H1546">
        <v>43</v>
      </c>
      <c r="I1546" s="2">
        <f>INT(DATE($B$3,1,1) + (30+0.5)*365/50)</f>
        <v>0</v>
      </c>
      <c r="J1546" s="2">
        <f>I1546 - INT(ROUND($B$4 * 30.4375, 0) * (43+0.5)/50)</f>
        <v>0</v>
      </c>
      <c r="K1546" s="4">
        <f>VLOOKUP(J1546, '1_Rate_Changes'!$A$2:$C$100, 3, TRUE)</f>
        <v>0</v>
      </c>
    </row>
    <row r="1547" spans="7:11">
      <c r="G1547">
        <v>30</v>
      </c>
      <c r="H1547">
        <v>44</v>
      </c>
      <c r="I1547" s="2">
        <f>INT(DATE($B$3,1,1) + (30+0.5)*365/50)</f>
        <v>0</v>
      </c>
      <c r="J1547" s="2">
        <f>I1547 - INT(ROUND($B$4 * 30.4375, 0) * (44+0.5)/50)</f>
        <v>0</v>
      </c>
      <c r="K1547" s="4">
        <f>VLOOKUP(J1547, '1_Rate_Changes'!$A$2:$C$100, 3, TRUE)</f>
        <v>0</v>
      </c>
    </row>
    <row r="1548" spans="7:11">
      <c r="G1548">
        <v>30</v>
      </c>
      <c r="H1548">
        <v>45</v>
      </c>
      <c r="I1548" s="2">
        <f>INT(DATE($B$3,1,1) + (30+0.5)*365/50)</f>
        <v>0</v>
      </c>
      <c r="J1548" s="2">
        <f>I1548 - INT(ROUND($B$4 * 30.4375, 0) * (45+0.5)/50)</f>
        <v>0</v>
      </c>
      <c r="K1548" s="4">
        <f>VLOOKUP(J1548, '1_Rate_Changes'!$A$2:$C$100, 3, TRUE)</f>
        <v>0</v>
      </c>
    </row>
    <row r="1549" spans="7:11">
      <c r="G1549">
        <v>30</v>
      </c>
      <c r="H1549">
        <v>46</v>
      </c>
      <c r="I1549" s="2">
        <f>INT(DATE($B$3,1,1) + (30+0.5)*365/50)</f>
        <v>0</v>
      </c>
      <c r="J1549" s="2">
        <f>I1549 - INT(ROUND($B$4 * 30.4375, 0) * (46+0.5)/50)</f>
        <v>0</v>
      </c>
      <c r="K1549" s="4">
        <f>VLOOKUP(J1549, '1_Rate_Changes'!$A$2:$C$100, 3, TRUE)</f>
        <v>0</v>
      </c>
    </row>
    <row r="1550" spans="7:11">
      <c r="G1550">
        <v>30</v>
      </c>
      <c r="H1550">
        <v>47</v>
      </c>
      <c r="I1550" s="2">
        <f>INT(DATE($B$3,1,1) + (30+0.5)*365/50)</f>
        <v>0</v>
      </c>
      <c r="J1550" s="2">
        <f>I1550 - INT(ROUND($B$4 * 30.4375, 0) * (47+0.5)/50)</f>
        <v>0</v>
      </c>
      <c r="K1550" s="4">
        <f>VLOOKUP(J1550, '1_Rate_Changes'!$A$2:$C$100, 3, TRUE)</f>
        <v>0</v>
      </c>
    </row>
    <row r="1551" spans="7:11">
      <c r="G1551">
        <v>30</v>
      </c>
      <c r="H1551">
        <v>48</v>
      </c>
      <c r="I1551" s="2">
        <f>INT(DATE($B$3,1,1) + (30+0.5)*365/50)</f>
        <v>0</v>
      </c>
      <c r="J1551" s="2">
        <f>I1551 - INT(ROUND($B$4 * 30.4375, 0) * (48+0.5)/50)</f>
        <v>0</v>
      </c>
      <c r="K1551" s="4">
        <f>VLOOKUP(J1551, '1_Rate_Changes'!$A$2:$C$100, 3, TRUE)</f>
        <v>0</v>
      </c>
    </row>
    <row r="1552" spans="7:11">
      <c r="G1552">
        <v>30</v>
      </c>
      <c r="H1552">
        <v>49</v>
      </c>
      <c r="I1552" s="2">
        <f>INT(DATE($B$3,1,1) + (30+0.5)*365/50)</f>
        <v>0</v>
      </c>
      <c r="J1552" s="2">
        <f>I1552 - INT(ROUND($B$4 * 30.4375, 0) * (49+0.5)/50)</f>
        <v>0</v>
      </c>
      <c r="K1552" s="4">
        <f>VLOOKUP(J1552, '1_Rate_Changes'!$A$2:$C$100, 3, TRUE)</f>
        <v>0</v>
      </c>
    </row>
    <row r="1553" spans="7:11">
      <c r="G1553">
        <v>31</v>
      </c>
      <c r="H1553">
        <v>0</v>
      </c>
      <c r="I1553" s="2">
        <f>INT(DATE($B$3,1,1) + (31+0.5)*365/50)</f>
        <v>0</v>
      </c>
      <c r="J1553" s="2">
        <f>I1553 - INT(ROUND($B$4 * 30.4375, 0) * (0+0.5)/50)</f>
        <v>0</v>
      </c>
      <c r="K1553" s="4">
        <f>VLOOKUP(J1553, '1_Rate_Changes'!$A$2:$C$100, 3, TRUE)</f>
        <v>0</v>
      </c>
    </row>
    <row r="1554" spans="7:11">
      <c r="G1554">
        <v>31</v>
      </c>
      <c r="H1554">
        <v>1</v>
      </c>
      <c r="I1554" s="2">
        <f>INT(DATE($B$3,1,1) + (31+0.5)*365/50)</f>
        <v>0</v>
      </c>
      <c r="J1554" s="2">
        <f>I1554 - INT(ROUND($B$4 * 30.4375, 0) * (1+0.5)/50)</f>
        <v>0</v>
      </c>
      <c r="K1554" s="4">
        <f>VLOOKUP(J1554, '1_Rate_Changes'!$A$2:$C$100, 3, TRUE)</f>
        <v>0</v>
      </c>
    </row>
    <row r="1555" spans="7:11">
      <c r="G1555">
        <v>31</v>
      </c>
      <c r="H1555">
        <v>2</v>
      </c>
      <c r="I1555" s="2">
        <f>INT(DATE($B$3,1,1) + (31+0.5)*365/50)</f>
        <v>0</v>
      </c>
      <c r="J1555" s="2">
        <f>I1555 - INT(ROUND($B$4 * 30.4375, 0) * (2+0.5)/50)</f>
        <v>0</v>
      </c>
      <c r="K1555" s="4">
        <f>VLOOKUP(J1555, '1_Rate_Changes'!$A$2:$C$100, 3, TRUE)</f>
        <v>0</v>
      </c>
    </row>
    <row r="1556" spans="7:11">
      <c r="G1556">
        <v>31</v>
      </c>
      <c r="H1556">
        <v>3</v>
      </c>
      <c r="I1556" s="2">
        <f>INT(DATE($B$3,1,1) + (31+0.5)*365/50)</f>
        <v>0</v>
      </c>
      <c r="J1556" s="2">
        <f>I1556 - INT(ROUND($B$4 * 30.4375, 0) * (3+0.5)/50)</f>
        <v>0</v>
      </c>
      <c r="K1556" s="4">
        <f>VLOOKUP(J1556, '1_Rate_Changes'!$A$2:$C$100, 3, TRUE)</f>
        <v>0</v>
      </c>
    </row>
    <row r="1557" spans="7:11">
      <c r="G1557">
        <v>31</v>
      </c>
      <c r="H1557">
        <v>4</v>
      </c>
      <c r="I1557" s="2">
        <f>INT(DATE($B$3,1,1) + (31+0.5)*365/50)</f>
        <v>0</v>
      </c>
      <c r="J1557" s="2">
        <f>I1557 - INT(ROUND($B$4 * 30.4375, 0) * (4+0.5)/50)</f>
        <v>0</v>
      </c>
      <c r="K1557" s="4">
        <f>VLOOKUP(J1557, '1_Rate_Changes'!$A$2:$C$100, 3, TRUE)</f>
        <v>0</v>
      </c>
    </row>
    <row r="1558" spans="7:11">
      <c r="G1558">
        <v>31</v>
      </c>
      <c r="H1558">
        <v>5</v>
      </c>
      <c r="I1558" s="2">
        <f>INT(DATE($B$3,1,1) + (31+0.5)*365/50)</f>
        <v>0</v>
      </c>
      <c r="J1558" s="2">
        <f>I1558 - INT(ROUND($B$4 * 30.4375, 0) * (5+0.5)/50)</f>
        <v>0</v>
      </c>
      <c r="K1558" s="4">
        <f>VLOOKUP(J1558, '1_Rate_Changes'!$A$2:$C$100, 3, TRUE)</f>
        <v>0</v>
      </c>
    </row>
    <row r="1559" spans="7:11">
      <c r="G1559">
        <v>31</v>
      </c>
      <c r="H1559">
        <v>6</v>
      </c>
      <c r="I1559" s="2">
        <f>INT(DATE($B$3,1,1) + (31+0.5)*365/50)</f>
        <v>0</v>
      </c>
      <c r="J1559" s="2">
        <f>I1559 - INT(ROUND($B$4 * 30.4375, 0) * (6+0.5)/50)</f>
        <v>0</v>
      </c>
      <c r="K1559" s="4">
        <f>VLOOKUP(J1559, '1_Rate_Changes'!$A$2:$C$100, 3, TRUE)</f>
        <v>0</v>
      </c>
    </row>
    <row r="1560" spans="7:11">
      <c r="G1560">
        <v>31</v>
      </c>
      <c r="H1560">
        <v>7</v>
      </c>
      <c r="I1560" s="2">
        <f>INT(DATE($B$3,1,1) + (31+0.5)*365/50)</f>
        <v>0</v>
      </c>
      <c r="J1560" s="2">
        <f>I1560 - INT(ROUND($B$4 * 30.4375, 0) * (7+0.5)/50)</f>
        <v>0</v>
      </c>
      <c r="K1560" s="4">
        <f>VLOOKUP(J1560, '1_Rate_Changes'!$A$2:$C$100, 3, TRUE)</f>
        <v>0</v>
      </c>
    </row>
    <row r="1561" spans="7:11">
      <c r="G1561">
        <v>31</v>
      </c>
      <c r="H1561">
        <v>8</v>
      </c>
      <c r="I1561" s="2">
        <f>INT(DATE($B$3,1,1) + (31+0.5)*365/50)</f>
        <v>0</v>
      </c>
      <c r="J1561" s="2">
        <f>I1561 - INT(ROUND($B$4 * 30.4375, 0) * (8+0.5)/50)</f>
        <v>0</v>
      </c>
      <c r="K1561" s="4">
        <f>VLOOKUP(J1561, '1_Rate_Changes'!$A$2:$C$100, 3, TRUE)</f>
        <v>0</v>
      </c>
    </row>
    <row r="1562" spans="7:11">
      <c r="G1562">
        <v>31</v>
      </c>
      <c r="H1562">
        <v>9</v>
      </c>
      <c r="I1562" s="2">
        <f>INT(DATE($B$3,1,1) + (31+0.5)*365/50)</f>
        <v>0</v>
      </c>
      <c r="J1562" s="2">
        <f>I1562 - INT(ROUND($B$4 * 30.4375, 0) * (9+0.5)/50)</f>
        <v>0</v>
      </c>
      <c r="K1562" s="4">
        <f>VLOOKUP(J1562, '1_Rate_Changes'!$A$2:$C$100, 3, TRUE)</f>
        <v>0</v>
      </c>
    </row>
    <row r="1563" spans="7:11">
      <c r="G1563">
        <v>31</v>
      </c>
      <c r="H1563">
        <v>10</v>
      </c>
      <c r="I1563" s="2">
        <f>INT(DATE($B$3,1,1) + (31+0.5)*365/50)</f>
        <v>0</v>
      </c>
      <c r="J1563" s="2">
        <f>I1563 - INT(ROUND($B$4 * 30.4375, 0) * (10+0.5)/50)</f>
        <v>0</v>
      </c>
      <c r="K1563" s="4">
        <f>VLOOKUP(J1563, '1_Rate_Changes'!$A$2:$C$100, 3, TRUE)</f>
        <v>0</v>
      </c>
    </row>
    <row r="1564" spans="7:11">
      <c r="G1564">
        <v>31</v>
      </c>
      <c r="H1564">
        <v>11</v>
      </c>
      <c r="I1564" s="2">
        <f>INT(DATE($B$3,1,1) + (31+0.5)*365/50)</f>
        <v>0</v>
      </c>
      <c r="J1564" s="2">
        <f>I1564 - INT(ROUND($B$4 * 30.4375, 0) * (11+0.5)/50)</f>
        <v>0</v>
      </c>
      <c r="K1564" s="4">
        <f>VLOOKUP(J1564, '1_Rate_Changes'!$A$2:$C$100, 3, TRUE)</f>
        <v>0</v>
      </c>
    </row>
    <row r="1565" spans="7:11">
      <c r="G1565">
        <v>31</v>
      </c>
      <c r="H1565">
        <v>12</v>
      </c>
      <c r="I1565" s="2">
        <f>INT(DATE($B$3,1,1) + (31+0.5)*365/50)</f>
        <v>0</v>
      </c>
      <c r="J1565" s="2">
        <f>I1565 - INT(ROUND($B$4 * 30.4375, 0) * (12+0.5)/50)</f>
        <v>0</v>
      </c>
      <c r="K1565" s="4">
        <f>VLOOKUP(J1565, '1_Rate_Changes'!$A$2:$C$100, 3, TRUE)</f>
        <v>0</v>
      </c>
    </row>
    <row r="1566" spans="7:11">
      <c r="G1566">
        <v>31</v>
      </c>
      <c r="H1566">
        <v>13</v>
      </c>
      <c r="I1566" s="2">
        <f>INT(DATE($B$3,1,1) + (31+0.5)*365/50)</f>
        <v>0</v>
      </c>
      <c r="J1566" s="2">
        <f>I1566 - INT(ROUND($B$4 * 30.4375, 0) * (13+0.5)/50)</f>
        <v>0</v>
      </c>
      <c r="K1566" s="4">
        <f>VLOOKUP(J1566, '1_Rate_Changes'!$A$2:$C$100, 3, TRUE)</f>
        <v>0</v>
      </c>
    </row>
    <row r="1567" spans="7:11">
      <c r="G1567">
        <v>31</v>
      </c>
      <c r="H1567">
        <v>14</v>
      </c>
      <c r="I1567" s="2">
        <f>INT(DATE($B$3,1,1) + (31+0.5)*365/50)</f>
        <v>0</v>
      </c>
      <c r="J1567" s="2">
        <f>I1567 - INT(ROUND($B$4 * 30.4375, 0) * (14+0.5)/50)</f>
        <v>0</v>
      </c>
      <c r="K1567" s="4">
        <f>VLOOKUP(J1567, '1_Rate_Changes'!$A$2:$C$100, 3, TRUE)</f>
        <v>0</v>
      </c>
    </row>
    <row r="1568" spans="7:11">
      <c r="G1568">
        <v>31</v>
      </c>
      <c r="H1568">
        <v>15</v>
      </c>
      <c r="I1568" s="2">
        <f>INT(DATE($B$3,1,1) + (31+0.5)*365/50)</f>
        <v>0</v>
      </c>
      <c r="J1568" s="2">
        <f>I1568 - INT(ROUND($B$4 * 30.4375, 0) * (15+0.5)/50)</f>
        <v>0</v>
      </c>
      <c r="K1568" s="4">
        <f>VLOOKUP(J1568, '1_Rate_Changes'!$A$2:$C$100, 3, TRUE)</f>
        <v>0</v>
      </c>
    </row>
    <row r="1569" spans="7:11">
      <c r="G1569">
        <v>31</v>
      </c>
      <c r="H1569">
        <v>16</v>
      </c>
      <c r="I1569" s="2">
        <f>INT(DATE($B$3,1,1) + (31+0.5)*365/50)</f>
        <v>0</v>
      </c>
      <c r="J1569" s="2">
        <f>I1569 - INT(ROUND($B$4 * 30.4375, 0) * (16+0.5)/50)</f>
        <v>0</v>
      </c>
      <c r="K1569" s="4">
        <f>VLOOKUP(J1569, '1_Rate_Changes'!$A$2:$C$100, 3, TRUE)</f>
        <v>0</v>
      </c>
    </row>
    <row r="1570" spans="7:11">
      <c r="G1570">
        <v>31</v>
      </c>
      <c r="H1570">
        <v>17</v>
      </c>
      <c r="I1570" s="2">
        <f>INT(DATE($B$3,1,1) + (31+0.5)*365/50)</f>
        <v>0</v>
      </c>
      <c r="J1570" s="2">
        <f>I1570 - INT(ROUND($B$4 * 30.4375, 0) * (17+0.5)/50)</f>
        <v>0</v>
      </c>
      <c r="K1570" s="4">
        <f>VLOOKUP(J1570, '1_Rate_Changes'!$A$2:$C$100, 3, TRUE)</f>
        <v>0</v>
      </c>
    </row>
    <row r="1571" spans="7:11">
      <c r="G1571">
        <v>31</v>
      </c>
      <c r="H1571">
        <v>18</v>
      </c>
      <c r="I1571" s="2">
        <f>INT(DATE($B$3,1,1) + (31+0.5)*365/50)</f>
        <v>0</v>
      </c>
      <c r="J1571" s="2">
        <f>I1571 - INT(ROUND($B$4 * 30.4375, 0) * (18+0.5)/50)</f>
        <v>0</v>
      </c>
      <c r="K1571" s="4">
        <f>VLOOKUP(J1571, '1_Rate_Changes'!$A$2:$C$100, 3, TRUE)</f>
        <v>0</v>
      </c>
    </row>
    <row r="1572" spans="7:11">
      <c r="G1572">
        <v>31</v>
      </c>
      <c r="H1572">
        <v>19</v>
      </c>
      <c r="I1572" s="2">
        <f>INT(DATE($B$3,1,1) + (31+0.5)*365/50)</f>
        <v>0</v>
      </c>
      <c r="J1572" s="2">
        <f>I1572 - INT(ROUND($B$4 * 30.4375, 0) * (19+0.5)/50)</f>
        <v>0</v>
      </c>
      <c r="K1572" s="4">
        <f>VLOOKUP(J1572, '1_Rate_Changes'!$A$2:$C$100, 3, TRUE)</f>
        <v>0</v>
      </c>
    </row>
    <row r="1573" spans="7:11">
      <c r="G1573">
        <v>31</v>
      </c>
      <c r="H1573">
        <v>20</v>
      </c>
      <c r="I1573" s="2">
        <f>INT(DATE($B$3,1,1) + (31+0.5)*365/50)</f>
        <v>0</v>
      </c>
      <c r="J1573" s="2">
        <f>I1573 - INT(ROUND($B$4 * 30.4375, 0) * (20+0.5)/50)</f>
        <v>0</v>
      </c>
      <c r="K1573" s="4">
        <f>VLOOKUP(J1573, '1_Rate_Changes'!$A$2:$C$100, 3, TRUE)</f>
        <v>0</v>
      </c>
    </row>
    <row r="1574" spans="7:11">
      <c r="G1574">
        <v>31</v>
      </c>
      <c r="H1574">
        <v>21</v>
      </c>
      <c r="I1574" s="2">
        <f>INT(DATE($B$3,1,1) + (31+0.5)*365/50)</f>
        <v>0</v>
      </c>
      <c r="J1574" s="2">
        <f>I1574 - INT(ROUND($B$4 * 30.4375, 0) * (21+0.5)/50)</f>
        <v>0</v>
      </c>
      <c r="K1574" s="4">
        <f>VLOOKUP(J1574, '1_Rate_Changes'!$A$2:$C$100, 3, TRUE)</f>
        <v>0</v>
      </c>
    </row>
    <row r="1575" spans="7:11">
      <c r="G1575">
        <v>31</v>
      </c>
      <c r="H1575">
        <v>22</v>
      </c>
      <c r="I1575" s="2">
        <f>INT(DATE($B$3,1,1) + (31+0.5)*365/50)</f>
        <v>0</v>
      </c>
      <c r="J1575" s="2">
        <f>I1575 - INT(ROUND($B$4 * 30.4375, 0) * (22+0.5)/50)</f>
        <v>0</v>
      </c>
      <c r="K1575" s="4">
        <f>VLOOKUP(J1575, '1_Rate_Changes'!$A$2:$C$100, 3, TRUE)</f>
        <v>0</v>
      </c>
    </row>
    <row r="1576" spans="7:11">
      <c r="G1576">
        <v>31</v>
      </c>
      <c r="H1576">
        <v>23</v>
      </c>
      <c r="I1576" s="2">
        <f>INT(DATE($B$3,1,1) + (31+0.5)*365/50)</f>
        <v>0</v>
      </c>
      <c r="J1576" s="2">
        <f>I1576 - INT(ROUND($B$4 * 30.4375, 0) * (23+0.5)/50)</f>
        <v>0</v>
      </c>
      <c r="K1576" s="4">
        <f>VLOOKUP(J1576, '1_Rate_Changes'!$A$2:$C$100, 3, TRUE)</f>
        <v>0</v>
      </c>
    </row>
    <row r="1577" spans="7:11">
      <c r="G1577">
        <v>31</v>
      </c>
      <c r="H1577">
        <v>24</v>
      </c>
      <c r="I1577" s="2">
        <f>INT(DATE($B$3,1,1) + (31+0.5)*365/50)</f>
        <v>0</v>
      </c>
      <c r="J1577" s="2">
        <f>I1577 - INT(ROUND($B$4 * 30.4375, 0) * (24+0.5)/50)</f>
        <v>0</v>
      </c>
      <c r="K1577" s="4">
        <f>VLOOKUP(J1577, '1_Rate_Changes'!$A$2:$C$100, 3, TRUE)</f>
        <v>0</v>
      </c>
    </row>
    <row r="1578" spans="7:11">
      <c r="G1578">
        <v>31</v>
      </c>
      <c r="H1578">
        <v>25</v>
      </c>
      <c r="I1578" s="2">
        <f>INT(DATE($B$3,1,1) + (31+0.5)*365/50)</f>
        <v>0</v>
      </c>
      <c r="J1578" s="2">
        <f>I1578 - INT(ROUND($B$4 * 30.4375, 0) * (25+0.5)/50)</f>
        <v>0</v>
      </c>
      <c r="K1578" s="4">
        <f>VLOOKUP(J1578, '1_Rate_Changes'!$A$2:$C$100, 3, TRUE)</f>
        <v>0</v>
      </c>
    </row>
    <row r="1579" spans="7:11">
      <c r="G1579">
        <v>31</v>
      </c>
      <c r="H1579">
        <v>26</v>
      </c>
      <c r="I1579" s="2">
        <f>INT(DATE($B$3,1,1) + (31+0.5)*365/50)</f>
        <v>0</v>
      </c>
      <c r="J1579" s="2">
        <f>I1579 - INT(ROUND($B$4 * 30.4375, 0) * (26+0.5)/50)</f>
        <v>0</v>
      </c>
      <c r="K1579" s="4">
        <f>VLOOKUP(J1579, '1_Rate_Changes'!$A$2:$C$100, 3, TRUE)</f>
        <v>0</v>
      </c>
    </row>
    <row r="1580" spans="7:11">
      <c r="G1580">
        <v>31</v>
      </c>
      <c r="H1580">
        <v>27</v>
      </c>
      <c r="I1580" s="2">
        <f>INT(DATE($B$3,1,1) + (31+0.5)*365/50)</f>
        <v>0</v>
      </c>
      <c r="J1580" s="2">
        <f>I1580 - INT(ROUND($B$4 * 30.4375, 0) * (27+0.5)/50)</f>
        <v>0</v>
      </c>
      <c r="K1580" s="4">
        <f>VLOOKUP(J1580, '1_Rate_Changes'!$A$2:$C$100, 3, TRUE)</f>
        <v>0</v>
      </c>
    </row>
    <row r="1581" spans="7:11">
      <c r="G1581">
        <v>31</v>
      </c>
      <c r="H1581">
        <v>28</v>
      </c>
      <c r="I1581" s="2">
        <f>INT(DATE($B$3,1,1) + (31+0.5)*365/50)</f>
        <v>0</v>
      </c>
      <c r="J1581" s="2">
        <f>I1581 - INT(ROUND($B$4 * 30.4375, 0) * (28+0.5)/50)</f>
        <v>0</v>
      </c>
      <c r="K1581" s="4">
        <f>VLOOKUP(J1581, '1_Rate_Changes'!$A$2:$C$100, 3, TRUE)</f>
        <v>0</v>
      </c>
    </row>
    <row r="1582" spans="7:11">
      <c r="G1582">
        <v>31</v>
      </c>
      <c r="H1582">
        <v>29</v>
      </c>
      <c r="I1582" s="2">
        <f>INT(DATE($B$3,1,1) + (31+0.5)*365/50)</f>
        <v>0</v>
      </c>
      <c r="J1582" s="2">
        <f>I1582 - INT(ROUND($B$4 * 30.4375, 0) * (29+0.5)/50)</f>
        <v>0</v>
      </c>
      <c r="K1582" s="4">
        <f>VLOOKUP(J1582, '1_Rate_Changes'!$A$2:$C$100, 3, TRUE)</f>
        <v>0</v>
      </c>
    </row>
    <row r="1583" spans="7:11">
      <c r="G1583">
        <v>31</v>
      </c>
      <c r="H1583">
        <v>30</v>
      </c>
      <c r="I1583" s="2">
        <f>INT(DATE($B$3,1,1) + (31+0.5)*365/50)</f>
        <v>0</v>
      </c>
      <c r="J1583" s="2">
        <f>I1583 - INT(ROUND($B$4 * 30.4375, 0) * (30+0.5)/50)</f>
        <v>0</v>
      </c>
      <c r="K1583" s="4">
        <f>VLOOKUP(J1583, '1_Rate_Changes'!$A$2:$C$100, 3, TRUE)</f>
        <v>0</v>
      </c>
    </row>
    <row r="1584" spans="7:11">
      <c r="G1584">
        <v>31</v>
      </c>
      <c r="H1584">
        <v>31</v>
      </c>
      <c r="I1584" s="2">
        <f>INT(DATE($B$3,1,1) + (31+0.5)*365/50)</f>
        <v>0</v>
      </c>
      <c r="J1584" s="2">
        <f>I1584 - INT(ROUND($B$4 * 30.4375, 0) * (31+0.5)/50)</f>
        <v>0</v>
      </c>
      <c r="K1584" s="4">
        <f>VLOOKUP(J1584, '1_Rate_Changes'!$A$2:$C$100, 3, TRUE)</f>
        <v>0</v>
      </c>
    </row>
    <row r="1585" spans="7:11">
      <c r="G1585">
        <v>31</v>
      </c>
      <c r="H1585">
        <v>32</v>
      </c>
      <c r="I1585" s="2">
        <f>INT(DATE($B$3,1,1) + (31+0.5)*365/50)</f>
        <v>0</v>
      </c>
      <c r="J1585" s="2">
        <f>I1585 - INT(ROUND($B$4 * 30.4375, 0) * (32+0.5)/50)</f>
        <v>0</v>
      </c>
      <c r="K1585" s="4">
        <f>VLOOKUP(J1585, '1_Rate_Changes'!$A$2:$C$100, 3, TRUE)</f>
        <v>0</v>
      </c>
    </row>
    <row r="1586" spans="7:11">
      <c r="G1586">
        <v>31</v>
      </c>
      <c r="H1586">
        <v>33</v>
      </c>
      <c r="I1586" s="2">
        <f>INT(DATE($B$3,1,1) + (31+0.5)*365/50)</f>
        <v>0</v>
      </c>
      <c r="J1586" s="2">
        <f>I1586 - INT(ROUND($B$4 * 30.4375, 0) * (33+0.5)/50)</f>
        <v>0</v>
      </c>
      <c r="K1586" s="4">
        <f>VLOOKUP(J1586, '1_Rate_Changes'!$A$2:$C$100, 3, TRUE)</f>
        <v>0</v>
      </c>
    </row>
    <row r="1587" spans="7:11">
      <c r="G1587">
        <v>31</v>
      </c>
      <c r="H1587">
        <v>34</v>
      </c>
      <c r="I1587" s="2">
        <f>INT(DATE($B$3,1,1) + (31+0.5)*365/50)</f>
        <v>0</v>
      </c>
      <c r="J1587" s="2">
        <f>I1587 - INT(ROUND($B$4 * 30.4375, 0) * (34+0.5)/50)</f>
        <v>0</v>
      </c>
      <c r="K1587" s="4">
        <f>VLOOKUP(J1587, '1_Rate_Changes'!$A$2:$C$100, 3, TRUE)</f>
        <v>0</v>
      </c>
    </row>
    <row r="1588" spans="7:11">
      <c r="G1588">
        <v>31</v>
      </c>
      <c r="H1588">
        <v>35</v>
      </c>
      <c r="I1588" s="2">
        <f>INT(DATE($B$3,1,1) + (31+0.5)*365/50)</f>
        <v>0</v>
      </c>
      <c r="J1588" s="2">
        <f>I1588 - INT(ROUND($B$4 * 30.4375, 0) * (35+0.5)/50)</f>
        <v>0</v>
      </c>
      <c r="K1588" s="4">
        <f>VLOOKUP(J1588, '1_Rate_Changes'!$A$2:$C$100, 3, TRUE)</f>
        <v>0</v>
      </c>
    </row>
    <row r="1589" spans="7:11">
      <c r="G1589">
        <v>31</v>
      </c>
      <c r="H1589">
        <v>36</v>
      </c>
      <c r="I1589" s="2">
        <f>INT(DATE($B$3,1,1) + (31+0.5)*365/50)</f>
        <v>0</v>
      </c>
      <c r="J1589" s="2">
        <f>I1589 - INT(ROUND($B$4 * 30.4375, 0) * (36+0.5)/50)</f>
        <v>0</v>
      </c>
      <c r="K1589" s="4">
        <f>VLOOKUP(J1589, '1_Rate_Changes'!$A$2:$C$100, 3, TRUE)</f>
        <v>0</v>
      </c>
    </row>
    <row r="1590" spans="7:11">
      <c r="G1590">
        <v>31</v>
      </c>
      <c r="H1590">
        <v>37</v>
      </c>
      <c r="I1590" s="2">
        <f>INT(DATE($B$3,1,1) + (31+0.5)*365/50)</f>
        <v>0</v>
      </c>
      <c r="J1590" s="2">
        <f>I1590 - INT(ROUND($B$4 * 30.4375, 0) * (37+0.5)/50)</f>
        <v>0</v>
      </c>
      <c r="K1590" s="4">
        <f>VLOOKUP(J1590, '1_Rate_Changes'!$A$2:$C$100, 3, TRUE)</f>
        <v>0</v>
      </c>
    </row>
    <row r="1591" spans="7:11">
      <c r="G1591">
        <v>31</v>
      </c>
      <c r="H1591">
        <v>38</v>
      </c>
      <c r="I1591" s="2">
        <f>INT(DATE($B$3,1,1) + (31+0.5)*365/50)</f>
        <v>0</v>
      </c>
      <c r="J1591" s="2">
        <f>I1591 - INT(ROUND($B$4 * 30.4375, 0) * (38+0.5)/50)</f>
        <v>0</v>
      </c>
      <c r="K1591" s="4">
        <f>VLOOKUP(J1591, '1_Rate_Changes'!$A$2:$C$100, 3, TRUE)</f>
        <v>0</v>
      </c>
    </row>
    <row r="1592" spans="7:11">
      <c r="G1592">
        <v>31</v>
      </c>
      <c r="H1592">
        <v>39</v>
      </c>
      <c r="I1592" s="2">
        <f>INT(DATE($B$3,1,1) + (31+0.5)*365/50)</f>
        <v>0</v>
      </c>
      <c r="J1592" s="2">
        <f>I1592 - INT(ROUND($B$4 * 30.4375, 0) * (39+0.5)/50)</f>
        <v>0</v>
      </c>
      <c r="K1592" s="4">
        <f>VLOOKUP(J1592, '1_Rate_Changes'!$A$2:$C$100, 3, TRUE)</f>
        <v>0</v>
      </c>
    </row>
    <row r="1593" spans="7:11">
      <c r="G1593">
        <v>31</v>
      </c>
      <c r="H1593">
        <v>40</v>
      </c>
      <c r="I1593" s="2">
        <f>INT(DATE($B$3,1,1) + (31+0.5)*365/50)</f>
        <v>0</v>
      </c>
      <c r="J1593" s="2">
        <f>I1593 - INT(ROUND($B$4 * 30.4375, 0) * (40+0.5)/50)</f>
        <v>0</v>
      </c>
      <c r="K1593" s="4">
        <f>VLOOKUP(J1593, '1_Rate_Changes'!$A$2:$C$100, 3, TRUE)</f>
        <v>0</v>
      </c>
    </row>
    <row r="1594" spans="7:11">
      <c r="G1594">
        <v>31</v>
      </c>
      <c r="H1594">
        <v>41</v>
      </c>
      <c r="I1594" s="2">
        <f>INT(DATE($B$3,1,1) + (31+0.5)*365/50)</f>
        <v>0</v>
      </c>
      <c r="J1594" s="2">
        <f>I1594 - INT(ROUND($B$4 * 30.4375, 0) * (41+0.5)/50)</f>
        <v>0</v>
      </c>
      <c r="K1594" s="4">
        <f>VLOOKUP(J1594, '1_Rate_Changes'!$A$2:$C$100, 3, TRUE)</f>
        <v>0</v>
      </c>
    </row>
    <row r="1595" spans="7:11">
      <c r="G1595">
        <v>31</v>
      </c>
      <c r="H1595">
        <v>42</v>
      </c>
      <c r="I1595" s="2">
        <f>INT(DATE($B$3,1,1) + (31+0.5)*365/50)</f>
        <v>0</v>
      </c>
      <c r="J1595" s="2">
        <f>I1595 - INT(ROUND($B$4 * 30.4375, 0) * (42+0.5)/50)</f>
        <v>0</v>
      </c>
      <c r="K1595" s="4">
        <f>VLOOKUP(J1595, '1_Rate_Changes'!$A$2:$C$100, 3, TRUE)</f>
        <v>0</v>
      </c>
    </row>
    <row r="1596" spans="7:11">
      <c r="G1596">
        <v>31</v>
      </c>
      <c r="H1596">
        <v>43</v>
      </c>
      <c r="I1596" s="2">
        <f>INT(DATE($B$3,1,1) + (31+0.5)*365/50)</f>
        <v>0</v>
      </c>
      <c r="J1596" s="2">
        <f>I1596 - INT(ROUND($B$4 * 30.4375, 0) * (43+0.5)/50)</f>
        <v>0</v>
      </c>
      <c r="K1596" s="4">
        <f>VLOOKUP(J1596, '1_Rate_Changes'!$A$2:$C$100, 3, TRUE)</f>
        <v>0</v>
      </c>
    </row>
    <row r="1597" spans="7:11">
      <c r="G1597">
        <v>31</v>
      </c>
      <c r="H1597">
        <v>44</v>
      </c>
      <c r="I1597" s="2">
        <f>INT(DATE($B$3,1,1) + (31+0.5)*365/50)</f>
        <v>0</v>
      </c>
      <c r="J1597" s="2">
        <f>I1597 - INT(ROUND($B$4 * 30.4375, 0) * (44+0.5)/50)</f>
        <v>0</v>
      </c>
      <c r="K1597" s="4">
        <f>VLOOKUP(J1597, '1_Rate_Changes'!$A$2:$C$100, 3, TRUE)</f>
        <v>0</v>
      </c>
    </row>
    <row r="1598" spans="7:11">
      <c r="G1598">
        <v>31</v>
      </c>
      <c r="H1598">
        <v>45</v>
      </c>
      <c r="I1598" s="2">
        <f>INT(DATE($B$3,1,1) + (31+0.5)*365/50)</f>
        <v>0</v>
      </c>
      <c r="J1598" s="2">
        <f>I1598 - INT(ROUND($B$4 * 30.4375, 0) * (45+0.5)/50)</f>
        <v>0</v>
      </c>
      <c r="K1598" s="4">
        <f>VLOOKUP(J1598, '1_Rate_Changes'!$A$2:$C$100, 3, TRUE)</f>
        <v>0</v>
      </c>
    </row>
    <row r="1599" spans="7:11">
      <c r="G1599">
        <v>31</v>
      </c>
      <c r="H1599">
        <v>46</v>
      </c>
      <c r="I1599" s="2">
        <f>INT(DATE($B$3,1,1) + (31+0.5)*365/50)</f>
        <v>0</v>
      </c>
      <c r="J1599" s="2">
        <f>I1599 - INT(ROUND($B$4 * 30.4375, 0) * (46+0.5)/50)</f>
        <v>0</v>
      </c>
      <c r="K1599" s="4">
        <f>VLOOKUP(J1599, '1_Rate_Changes'!$A$2:$C$100, 3, TRUE)</f>
        <v>0</v>
      </c>
    </row>
    <row r="1600" spans="7:11">
      <c r="G1600">
        <v>31</v>
      </c>
      <c r="H1600">
        <v>47</v>
      </c>
      <c r="I1600" s="2">
        <f>INT(DATE($B$3,1,1) + (31+0.5)*365/50)</f>
        <v>0</v>
      </c>
      <c r="J1600" s="2">
        <f>I1600 - INT(ROUND($B$4 * 30.4375, 0) * (47+0.5)/50)</f>
        <v>0</v>
      </c>
      <c r="K1600" s="4">
        <f>VLOOKUP(J1600, '1_Rate_Changes'!$A$2:$C$100, 3, TRUE)</f>
        <v>0</v>
      </c>
    </row>
    <row r="1601" spans="7:11">
      <c r="G1601">
        <v>31</v>
      </c>
      <c r="H1601">
        <v>48</v>
      </c>
      <c r="I1601" s="2">
        <f>INT(DATE($B$3,1,1) + (31+0.5)*365/50)</f>
        <v>0</v>
      </c>
      <c r="J1601" s="2">
        <f>I1601 - INT(ROUND($B$4 * 30.4375, 0) * (48+0.5)/50)</f>
        <v>0</v>
      </c>
      <c r="K1601" s="4">
        <f>VLOOKUP(J1601, '1_Rate_Changes'!$A$2:$C$100, 3, TRUE)</f>
        <v>0</v>
      </c>
    </row>
    <row r="1602" spans="7:11">
      <c r="G1602">
        <v>31</v>
      </c>
      <c r="H1602">
        <v>49</v>
      </c>
      <c r="I1602" s="2">
        <f>INT(DATE($B$3,1,1) + (31+0.5)*365/50)</f>
        <v>0</v>
      </c>
      <c r="J1602" s="2">
        <f>I1602 - INT(ROUND($B$4 * 30.4375, 0) * (49+0.5)/50)</f>
        <v>0</v>
      </c>
      <c r="K1602" s="4">
        <f>VLOOKUP(J1602, '1_Rate_Changes'!$A$2:$C$100, 3, TRUE)</f>
        <v>0</v>
      </c>
    </row>
    <row r="1603" spans="7:11">
      <c r="G1603">
        <v>32</v>
      </c>
      <c r="H1603">
        <v>0</v>
      </c>
      <c r="I1603" s="2">
        <f>INT(DATE($B$3,1,1) + (32+0.5)*365/50)</f>
        <v>0</v>
      </c>
      <c r="J1603" s="2">
        <f>I1603 - INT(ROUND($B$4 * 30.4375, 0) * (0+0.5)/50)</f>
        <v>0</v>
      </c>
      <c r="K1603" s="4">
        <f>VLOOKUP(J1603, '1_Rate_Changes'!$A$2:$C$100, 3, TRUE)</f>
        <v>0</v>
      </c>
    </row>
    <row r="1604" spans="7:11">
      <c r="G1604">
        <v>32</v>
      </c>
      <c r="H1604">
        <v>1</v>
      </c>
      <c r="I1604" s="2">
        <f>INT(DATE($B$3,1,1) + (32+0.5)*365/50)</f>
        <v>0</v>
      </c>
      <c r="J1604" s="2">
        <f>I1604 - INT(ROUND($B$4 * 30.4375, 0) * (1+0.5)/50)</f>
        <v>0</v>
      </c>
      <c r="K1604" s="4">
        <f>VLOOKUP(J1604, '1_Rate_Changes'!$A$2:$C$100, 3, TRUE)</f>
        <v>0</v>
      </c>
    </row>
    <row r="1605" spans="7:11">
      <c r="G1605">
        <v>32</v>
      </c>
      <c r="H1605">
        <v>2</v>
      </c>
      <c r="I1605" s="2">
        <f>INT(DATE($B$3,1,1) + (32+0.5)*365/50)</f>
        <v>0</v>
      </c>
      <c r="J1605" s="2">
        <f>I1605 - INT(ROUND($B$4 * 30.4375, 0) * (2+0.5)/50)</f>
        <v>0</v>
      </c>
      <c r="K1605" s="4">
        <f>VLOOKUP(J1605, '1_Rate_Changes'!$A$2:$C$100, 3, TRUE)</f>
        <v>0</v>
      </c>
    </row>
    <row r="1606" spans="7:11">
      <c r="G1606">
        <v>32</v>
      </c>
      <c r="H1606">
        <v>3</v>
      </c>
      <c r="I1606" s="2">
        <f>INT(DATE($B$3,1,1) + (32+0.5)*365/50)</f>
        <v>0</v>
      </c>
      <c r="J1606" s="2">
        <f>I1606 - INT(ROUND($B$4 * 30.4375, 0) * (3+0.5)/50)</f>
        <v>0</v>
      </c>
      <c r="K1606" s="4">
        <f>VLOOKUP(J1606, '1_Rate_Changes'!$A$2:$C$100, 3, TRUE)</f>
        <v>0</v>
      </c>
    </row>
    <row r="1607" spans="7:11">
      <c r="G1607">
        <v>32</v>
      </c>
      <c r="H1607">
        <v>4</v>
      </c>
      <c r="I1607" s="2">
        <f>INT(DATE($B$3,1,1) + (32+0.5)*365/50)</f>
        <v>0</v>
      </c>
      <c r="J1607" s="2">
        <f>I1607 - INT(ROUND($B$4 * 30.4375, 0) * (4+0.5)/50)</f>
        <v>0</v>
      </c>
      <c r="K1607" s="4">
        <f>VLOOKUP(J1607, '1_Rate_Changes'!$A$2:$C$100, 3, TRUE)</f>
        <v>0</v>
      </c>
    </row>
    <row r="1608" spans="7:11">
      <c r="G1608">
        <v>32</v>
      </c>
      <c r="H1608">
        <v>5</v>
      </c>
      <c r="I1608" s="2">
        <f>INT(DATE($B$3,1,1) + (32+0.5)*365/50)</f>
        <v>0</v>
      </c>
      <c r="J1608" s="2">
        <f>I1608 - INT(ROUND($B$4 * 30.4375, 0) * (5+0.5)/50)</f>
        <v>0</v>
      </c>
      <c r="K1608" s="4">
        <f>VLOOKUP(J1608, '1_Rate_Changes'!$A$2:$C$100, 3, TRUE)</f>
        <v>0</v>
      </c>
    </row>
    <row r="1609" spans="7:11">
      <c r="G1609">
        <v>32</v>
      </c>
      <c r="H1609">
        <v>6</v>
      </c>
      <c r="I1609" s="2">
        <f>INT(DATE($B$3,1,1) + (32+0.5)*365/50)</f>
        <v>0</v>
      </c>
      <c r="J1609" s="2">
        <f>I1609 - INT(ROUND($B$4 * 30.4375, 0) * (6+0.5)/50)</f>
        <v>0</v>
      </c>
      <c r="K1609" s="4">
        <f>VLOOKUP(J1609, '1_Rate_Changes'!$A$2:$C$100, 3, TRUE)</f>
        <v>0</v>
      </c>
    </row>
    <row r="1610" spans="7:11">
      <c r="G1610">
        <v>32</v>
      </c>
      <c r="H1610">
        <v>7</v>
      </c>
      <c r="I1610" s="2">
        <f>INT(DATE($B$3,1,1) + (32+0.5)*365/50)</f>
        <v>0</v>
      </c>
      <c r="J1610" s="2">
        <f>I1610 - INT(ROUND($B$4 * 30.4375, 0) * (7+0.5)/50)</f>
        <v>0</v>
      </c>
      <c r="K1610" s="4">
        <f>VLOOKUP(J1610, '1_Rate_Changes'!$A$2:$C$100, 3, TRUE)</f>
        <v>0</v>
      </c>
    </row>
    <row r="1611" spans="7:11">
      <c r="G1611">
        <v>32</v>
      </c>
      <c r="H1611">
        <v>8</v>
      </c>
      <c r="I1611" s="2">
        <f>INT(DATE($B$3,1,1) + (32+0.5)*365/50)</f>
        <v>0</v>
      </c>
      <c r="J1611" s="2">
        <f>I1611 - INT(ROUND($B$4 * 30.4375, 0) * (8+0.5)/50)</f>
        <v>0</v>
      </c>
      <c r="K1611" s="4">
        <f>VLOOKUP(J1611, '1_Rate_Changes'!$A$2:$C$100, 3, TRUE)</f>
        <v>0</v>
      </c>
    </row>
    <row r="1612" spans="7:11">
      <c r="G1612">
        <v>32</v>
      </c>
      <c r="H1612">
        <v>9</v>
      </c>
      <c r="I1612" s="2">
        <f>INT(DATE($B$3,1,1) + (32+0.5)*365/50)</f>
        <v>0</v>
      </c>
      <c r="J1612" s="2">
        <f>I1612 - INT(ROUND($B$4 * 30.4375, 0) * (9+0.5)/50)</f>
        <v>0</v>
      </c>
      <c r="K1612" s="4">
        <f>VLOOKUP(J1612, '1_Rate_Changes'!$A$2:$C$100, 3, TRUE)</f>
        <v>0</v>
      </c>
    </row>
    <row r="1613" spans="7:11">
      <c r="G1613">
        <v>32</v>
      </c>
      <c r="H1613">
        <v>10</v>
      </c>
      <c r="I1613" s="2">
        <f>INT(DATE($B$3,1,1) + (32+0.5)*365/50)</f>
        <v>0</v>
      </c>
      <c r="J1613" s="2">
        <f>I1613 - INT(ROUND($B$4 * 30.4375, 0) * (10+0.5)/50)</f>
        <v>0</v>
      </c>
      <c r="K1613" s="4">
        <f>VLOOKUP(J1613, '1_Rate_Changes'!$A$2:$C$100, 3, TRUE)</f>
        <v>0</v>
      </c>
    </row>
    <row r="1614" spans="7:11">
      <c r="G1614">
        <v>32</v>
      </c>
      <c r="H1614">
        <v>11</v>
      </c>
      <c r="I1614" s="2">
        <f>INT(DATE($B$3,1,1) + (32+0.5)*365/50)</f>
        <v>0</v>
      </c>
      <c r="J1614" s="2">
        <f>I1614 - INT(ROUND($B$4 * 30.4375, 0) * (11+0.5)/50)</f>
        <v>0</v>
      </c>
      <c r="K1614" s="4">
        <f>VLOOKUP(J1614, '1_Rate_Changes'!$A$2:$C$100, 3, TRUE)</f>
        <v>0</v>
      </c>
    </row>
    <row r="1615" spans="7:11">
      <c r="G1615">
        <v>32</v>
      </c>
      <c r="H1615">
        <v>12</v>
      </c>
      <c r="I1615" s="2">
        <f>INT(DATE($B$3,1,1) + (32+0.5)*365/50)</f>
        <v>0</v>
      </c>
      <c r="J1615" s="2">
        <f>I1615 - INT(ROUND($B$4 * 30.4375, 0) * (12+0.5)/50)</f>
        <v>0</v>
      </c>
      <c r="K1615" s="4">
        <f>VLOOKUP(J1615, '1_Rate_Changes'!$A$2:$C$100, 3, TRUE)</f>
        <v>0</v>
      </c>
    </row>
    <row r="1616" spans="7:11">
      <c r="G1616">
        <v>32</v>
      </c>
      <c r="H1616">
        <v>13</v>
      </c>
      <c r="I1616" s="2">
        <f>INT(DATE($B$3,1,1) + (32+0.5)*365/50)</f>
        <v>0</v>
      </c>
      <c r="J1616" s="2">
        <f>I1616 - INT(ROUND($B$4 * 30.4375, 0) * (13+0.5)/50)</f>
        <v>0</v>
      </c>
      <c r="K1616" s="4">
        <f>VLOOKUP(J1616, '1_Rate_Changes'!$A$2:$C$100, 3, TRUE)</f>
        <v>0</v>
      </c>
    </row>
    <row r="1617" spans="7:11">
      <c r="G1617">
        <v>32</v>
      </c>
      <c r="H1617">
        <v>14</v>
      </c>
      <c r="I1617" s="2">
        <f>INT(DATE($B$3,1,1) + (32+0.5)*365/50)</f>
        <v>0</v>
      </c>
      <c r="J1617" s="2">
        <f>I1617 - INT(ROUND($B$4 * 30.4375, 0) * (14+0.5)/50)</f>
        <v>0</v>
      </c>
      <c r="K1617" s="4">
        <f>VLOOKUP(J1617, '1_Rate_Changes'!$A$2:$C$100, 3, TRUE)</f>
        <v>0</v>
      </c>
    </row>
    <row r="1618" spans="7:11">
      <c r="G1618">
        <v>32</v>
      </c>
      <c r="H1618">
        <v>15</v>
      </c>
      <c r="I1618" s="2">
        <f>INT(DATE($B$3,1,1) + (32+0.5)*365/50)</f>
        <v>0</v>
      </c>
      <c r="J1618" s="2">
        <f>I1618 - INT(ROUND($B$4 * 30.4375, 0) * (15+0.5)/50)</f>
        <v>0</v>
      </c>
      <c r="K1618" s="4">
        <f>VLOOKUP(J1618, '1_Rate_Changes'!$A$2:$C$100, 3, TRUE)</f>
        <v>0</v>
      </c>
    </row>
    <row r="1619" spans="7:11">
      <c r="G1619">
        <v>32</v>
      </c>
      <c r="H1619">
        <v>16</v>
      </c>
      <c r="I1619" s="2">
        <f>INT(DATE($B$3,1,1) + (32+0.5)*365/50)</f>
        <v>0</v>
      </c>
      <c r="J1619" s="2">
        <f>I1619 - INT(ROUND($B$4 * 30.4375, 0) * (16+0.5)/50)</f>
        <v>0</v>
      </c>
      <c r="K1619" s="4">
        <f>VLOOKUP(J1619, '1_Rate_Changes'!$A$2:$C$100, 3, TRUE)</f>
        <v>0</v>
      </c>
    </row>
    <row r="1620" spans="7:11">
      <c r="G1620">
        <v>32</v>
      </c>
      <c r="H1620">
        <v>17</v>
      </c>
      <c r="I1620" s="2">
        <f>INT(DATE($B$3,1,1) + (32+0.5)*365/50)</f>
        <v>0</v>
      </c>
      <c r="J1620" s="2">
        <f>I1620 - INT(ROUND($B$4 * 30.4375, 0) * (17+0.5)/50)</f>
        <v>0</v>
      </c>
      <c r="K1620" s="4">
        <f>VLOOKUP(J1620, '1_Rate_Changes'!$A$2:$C$100, 3, TRUE)</f>
        <v>0</v>
      </c>
    </row>
    <row r="1621" spans="7:11">
      <c r="G1621">
        <v>32</v>
      </c>
      <c r="H1621">
        <v>18</v>
      </c>
      <c r="I1621" s="2">
        <f>INT(DATE($B$3,1,1) + (32+0.5)*365/50)</f>
        <v>0</v>
      </c>
      <c r="J1621" s="2">
        <f>I1621 - INT(ROUND($B$4 * 30.4375, 0) * (18+0.5)/50)</f>
        <v>0</v>
      </c>
      <c r="K1621" s="4">
        <f>VLOOKUP(J1621, '1_Rate_Changes'!$A$2:$C$100, 3, TRUE)</f>
        <v>0</v>
      </c>
    </row>
    <row r="1622" spans="7:11">
      <c r="G1622">
        <v>32</v>
      </c>
      <c r="H1622">
        <v>19</v>
      </c>
      <c r="I1622" s="2">
        <f>INT(DATE($B$3,1,1) + (32+0.5)*365/50)</f>
        <v>0</v>
      </c>
      <c r="J1622" s="2">
        <f>I1622 - INT(ROUND($B$4 * 30.4375, 0) * (19+0.5)/50)</f>
        <v>0</v>
      </c>
      <c r="K1622" s="4">
        <f>VLOOKUP(J1622, '1_Rate_Changes'!$A$2:$C$100, 3, TRUE)</f>
        <v>0</v>
      </c>
    </row>
    <row r="1623" spans="7:11">
      <c r="G1623">
        <v>32</v>
      </c>
      <c r="H1623">
        <v>20</v>
      </c>
      <c r="I1623" s="2">
        <f>INT(DATE($B$3,1,1) + (32+0.5)*365/50)</f>
        <v>0</v>
      </c>
      <c r="J1623" s="2">
        <f>I1623 - INT(ROUND($B$4 * 30.4375, 0) * (20+0.5)/50)</f>
        <v>0</v>
      </c>
      <c r="K1623" s="4">
        <f>VLOOKUP(J1623, '1_Rate_Changes'!$A$2:$C$100, 3, TRUE)</f>
        <v>0</v>
      </c>
    </row>
    <row r="1624" spans="7:11">
      <c r="G1624">
        <v>32</v>
      </c>
      <c r="H1624">
        <v>21</v>
      </c>
      <c r="I1624" s="2">
        <f>INT(DATE($B$3,1,1) + (32+0.5)*365/50)</f>
        <v>0</v>
      </c>
      <c r="J1624" s="2">
        <f>I1624 - INT(ROUND($B$4 * 30.4375, 0) * (21+0.5)/50)</f>
        <v>0</v>
      </c>
      <c r="K1624" s="4">
        <f>VLOOKUP(J1624, '1_Rate_Changes'!$A$2:$C$100, 3, TRUE)</f>
        <v>0</v>
      </c>
    </row>
    <row r="1625" spans="7:11">
      <c r="G1625">
        <v>32</v>
      </c>
      <c r="H1625">
        <v>22</v>
      </c>
      <c r="I1625" s="2">
        <f>INT(DATE($B$3,1,1) + (32+0.5)*365/50)</f>
        <v>0</v>
      </c>
      <c r="J1625" s="2">
        <f>I1625 - INT(ROUND($B$4 * 30.4375, 0) * (22+0.5)/50)</f>
        <v>0</v>
      </c>
      <c r="K1625" s="4">
        <f>VLOOKUP(J1625, '1_Rate_Changes'!$A$2:$C$100, 3, TRUE)</f>
        <v>0</v>
      </c>
    </row>
    <row r="1626" spans="7:11">
      <c r="G1626">
        <v>32</v>
      </c>
      <c r="H1626">
        <v>23</v>
      </c>
      <c r="I1626" s="2">
        <f>INT(DATE($B$3,1,1) + (32+0.5)*365/50)</f>
        <v>0</v>
      </c>
      <c r="J1626" s="2">
        <f>I1626 - INT(ROUND($B$4 * 30.4375, 0) * (23+0.5)/50)</f>
        <v>0</v>
      </c>
      <c r="K1626" s="4">
        <f>VLOOKUP(J1626, '1_Rate_Changes'!$A$2:$C$100, 3, TRUE)</f>
        <v>0</v>
      </c>
    </row>
    <row r="1627" spans="7:11">
      <c r="G1627">
        <v>32</v>
      </c>
      <c r="H1627">
        <v>24</v>
      </c>
      <c r="I1627" s="2">
        <f>INT(DATE($B$3,1,1) + (32+0.5)*365/50)</f>
        <v>0</v>
      </c>
      <c r="J1627" s="2">
        <f>I1627 - INT(ROUND($B$4 * 30.4375, 0) * (24+0.5)/50)</f>
        <v>0</v>
      </c>
      <c r="K1627" s="4">
        <f>VLOOKUP(J1627, '1_Rate_Changes'!$A$2:$C$100, 3, TRUE)</f>
        <v>0</v>
      </c>
    </row>
    <row r="1628" spans="7:11">
      <c r="G1628">
        <v>32</v>
      </c>
      <c r="H1628">
        <v>25</v>
      </c>
      <c r="I1628" s="2">
        <f>INT(DATE($B$3,1,1) + (32+0.5)*365/50)</f>
        <v>0</v>
      </c>
      <c r="J1628" s="2">
        <f>I1628 - INT(ROUND($B$4 * 30.4375, 0) * (25+0.5)/50)</f>
        <v>0</v>
      </c>
      <c r="K1628" s="4">
        <f>VLOOKUP(J1628, '1_Rate_Changes'!$A$2:$C$100, 3, TRUE)</f>
        <v>0</v>
      </c>
    </row>
    <row r="1629" spans="7:11">
      <c r="G1629">
        <v>32</v>
      </c>
      <c r="H1629">
        <v>26</v>
      </c>
      <c r="I1629" s="2">
        <f>INT(DATE($B$3,1,1) + (32+0.5)*365/50)</f>
        <v>0</v>
      </c>
      <c r="J1629" s="2">
        <f>I1629 - INT(ROUND($B$4 * 30.4375, 0) * (26+0.5)/50)</f>
        <v>0</v>
      </c>
      <c r="K1629" s="4">
        <f>VLOOKUP(J1629, '1_Rate_Changes'!$A$2:$C$100, 3, TRUE)</f>
        <v>0</v>
      </c>
    </row>
    <row r="1630" spans="7:11">
      <c r="G1630">
        <v>32</v>
      </c>
      <c r="H1630">
        <v>27</v>
      </c>
      <c r="I1630" s="2">
        <f>INT(DATE($B$3,1,1) + (32+0.5)*365/50)</f>
        <v>0</v>
      </c>
      <c r="J1630" s="2">
        <f>I1630 - INT(ROUND($B$4 * 30.4375, 0) * (27+0.5)/50)</f>
        <v>0</v>
      </c>
      <c r="K1630" s="4">
        <f>VLOOKUP(J1630, '1_Rate_Changes'!$A$2:$C$100, 3, TRUE)</f>
        <v>0</v>
      </c>
    </row>
    <row r="1631" spans="7:11">
      <c r="G1631">
        <v>32</v>
      </c>
      <c r="H1631">
        <v>28</v>
      </c>
      <c r="I1631" s="2">
        <f>INT(DATE($B$3,1,1) + (32+0.5)*365/50)</f>
        <v>0</v>
      </c>
      <c r="J1631" s="2">
        <f>I1631 - INT(ROUND($B$4 * 30.4375, 0) * (28+0.5)/50)</f>
        <v>0</v>
      </c>
      <c r="K1631" s="4">
        <f>VLOOKUP(J1631, '1_Rate_Changes'!$A$2:$C$100, 3, TRUE)</f>
        <v>0</v>
      </c>
    </row>
    <row r="1632" spans="7:11">
      <c r="G1632">
        <v>32</v>
      </c>
      <c r="H1632">
        <v>29</v>
      </c>
      <c r="I1632" s="2">
        <f>INT(DATE($B$3,1,1) + (32+0.5)*365/50)</f>
        <v>0</v>
      </c>
      <c r="J1632" s="2">
        <f>I1632 - INT(ROUND($B$4 * 30.4375, 0) * (29+0.5)/50)</f>
        <v>0</v>
      </c>
      <c r="K1632" s="4">
        <f>VLOOKUP(J1632, '1_Rate_Changes'!$A$2:$C$100, 3, TRUE)</f>
        <v>0</v>
      </c>
    </row>
    <row r="1633" spans="7:11">
      <c r="G1633">
        <v>32</v>
      </c>
      <c r="H1633">
        <v>30</v>
      </c>
      <c r="I1633" s="2">
        <f>INT(DATE($B$3,1,1) + (32+0.5)*365/50)</f>
        <v>0</v>
      </c>
      <c r="J1633" s="2">
        <f>I1633 - INT(ROUND($B$4 * 30.4375, 0) * (30+0.5)/50)</f>
        <v>0</v>
      </c>
      <c r="K1633" s="4">
        <f>VLOOKUP(J1633, '1_Rate_Changes'!$A$2:$C$100, 3, TRUE)</f>
        <v>0</v>
      </c>
    </row>
    <row r="1634" spans="7:11">
      <c r="G1634">
        <v>32</v>
      </c>
      <c r="H1634">
        <v>31</v>
      </c>
      <c r="I1634" s="2">
        <f>INT(DATE($B$3,1,1) + (32+0.5)*365/50)</f>
        <v>0</v>
      </c>
      <c r="J1634" s="2">
        <f>I1634 - INT(ROUND($B$4 * 30.4375, 0) * (31+0.5)/50)</f>
        <v>0</v>
      </c>
      <c r="K1634" s="4">
        <f>VLOOKUP(J1634, '1_Rate_Changes'!$A$2:$C$100, 3, TRUE)</f>
        <v>0</v>
      </c>
    </row>
    <row r="1635" spans="7:11">
      <c r="G1635">
        <v>32</v>
      </c>
      <c r="H1635">
        <v>32</v>
      </c>
      <c r="I1635" s="2">
        <f>INT(DATE($B$3,1,1) + (32+0.5)*365/50)</f>
        <v>0</v>
      </c>
      <c r="J1635" s="2">
        <f>I1635 - INT(ROUND($B$4 * 30.4375, 0) * (32+0.5)/50)</f>
        <v>0</v>
      </c>
      <c r="K1635" s="4">
        <f>VLOOKUP(J1635, '1_Rate_Changes'!$A$2:$C$100, 3, TRUE)</f>
        <v>0</v>
      </c>
    </row>
    <row r="1636" spans="7:11">
      <c r="G1636">
        <v>32</v>
      </c>
      <c r="H1636">
        <v>33</v>
      </c>
      <c r="I1636" s="2">
        <f>INT(DATE($B$3,1,1) + (32+0.5)*365/50)</f>
        <v>0</v>
      </c>
      <c r="J1636" s="2">
        <f>I1636 - INT(ROUND($B$4 * 30.4375, 0) * (33+0.5)/50)</f>
        <v>0</v>
      </c>
      <c r="K1636" s="4">
        <f>VLOOKUP(J1636, '1_Rate_Changes'!$A$2:$C$100, 3, TRUE)</f>
        <v>0</v>
      </c>
    </row>
    <row r="1637" spans="7:11">
      <c r="G1637">
        <v>32</v>
      </c>
      <c r="H1637">
        <v>34</v>
      </c>
      <c r="I1637" s="2">
        <f>INT(DATE($B$3,1,1) + (32+0.5)*365/50)</f>
        <v>0</v>
      </c>
      <c r="J1637" s="2">
        <f>I1637 - INT(ROUND($B$4 * 30.4375, 0) * (34+0.5)/50)</f>
        <v>0</v>
      </c>
      <c r="K1637" s="4">
        <f>VLOOKUP(J1637, '1_Rate_Changes'!$A$2:$C$100, 3, TRUE)</f>
        <v>0</v>
      </c>
    </row>
    <row r="1638" spans="7:11">
      <c r="G1638">
        <v>32</v>
      </c>
      <c r="H1638">
        <v>35</v>
      </c>
      <c r="I1638" s="2">
        <f>INT(DATE($B$3,1,1) + (32+0.5)*365/50)</f>
        <v>0</v>
      </c>
      <c r="J1638" s="2">
        <f>I1638 - INT(ROUND($B$4 * 30.4375, 0) * (35+0.5)/50)</f>
        <v>0</v>
      </c>
      <c r="K1638" s="4">
        <f>VLOOKUP(J1638, '1_Rate_Changes'!$A$2:$C$100, 3, TRUE)</f>
        <v>0</v>
      </c>
    </row>
    <row r="1639" spans="7:11">
      <c r="G1639">
        <v>32</v>
      </c>
      <c r="H1639">
        <v>36</v>
      </c>
      <c r="I1639" s="2">
        <f>INT(DATE($B$3,1,1) + (32+0.5)*365/50)</f>
        <v>0</v>
      </c>
      <c r="J1639" s="2">
        <f>I1639 - INT(ROUND($B$4 * 30.4375, 0) * (36+0.5)/50)</f>
        <v>0</v>
      </c>
      <c r="K1639" s="4">
        <f>VLOOKUP(J1639, '1_Rate_Changes'!$A$2:$C$100, 3, TRUE)</f>
        <v>0</v>
      </c>
    </row>
    <row r="1640" spans="7:11">
      <c r="G1640">
        <v>32</v>
      </c>
      <c r="H1640">
        <v>37</v>
      </c>
      <c r="I1640" s="2">
        <f>INT(DATE($B$3,1,1) + (32+0.5)*365/50)</f>
        <v>0</v>
      </c>
      <c r="J1640" s="2">
        <f>I1640 - INT(ROUND($B$4 * 30.4375, 0) * (37+0.5)/50)</f>
        <v>0</v>
      </c>
      <c r="K1640" s="4">
        <f>VLOOKUP(J1640, '1_Rate_Changes'!$A$2:$C$100, 3, TRUE)</f>
        <v>0</v>
      </c>
    </row>
    <row r="1641" spans="7:11">
      <c r="G1641">
        <v>32</v>
      </c>
      <c r="H1641">
        <v>38</v>
      </c>
      <c r="I1641" s="2">
        <f>INT(DATE($B$3,1,1) + (32+0.5)*365/50)</f>
        <v>0</v>
      </c>
      <c r="J1641" s="2">
        <f>I1641 - INT(ROUND($B$4 * 30.4375, 0) * (38+0.5)/50)</f>
        <v>0</v>
      </c>
      <c r="K1641" s="4">
        <f>VLOOKUP(J1641, '1_Rate_Changes'!$A$2:$C$100, 3, TRUE)</f>
        <v>0</v>
      </c>
    </row>
    <row r="1642" spans="7:11">
      <c r="G1642">
        <v>32</v>
      </c>
      <c r="H1642">
        <v>39</v>
      </c>
      <c r="I1642" s="2">
        <f>INT(DATE($B$3,1,1) + (32+0.5)*365/50)</f>
        <v>0</v>
      </c>
      <c r="J1642" s="2">
        <f>I1642 - INT(ROUND($B$4 * 30.4375, 0) * (39+0.5)/50)</f>
        <v>0</v>
      </c>
      <c r="K1642" s="4">
        <f>VLOOKUP(J1642, '1_Rate_Changes'!$A$2:$C$100, 3, TRUE)</f>
        <v>0</v>
      </c>
    </row>
    <row r="1643" spans="7:11">
      <c r="G1643">
        <v>32</v>
      </c>
      <c r="H1643">
        <v>40</v>
      </c>
      <c r="I1643" s="2">
        <f>INT(DATE($B$3,1,1) + (32+0.5)*365/50)</f>
        <v>0</v>
      </c>
      <c r="J1643" s="2">
        <f>I1643 - INT(ROUND($B$4 * 30.4375, 0) * (40+0.5)/50)</f>
        <v>0</v>
      </c>
      <c r="K1643" s="4">
        <f>VLOOKUP(J1643, '1_Rate_Changes'!$A$2:$C$100, 3, TRUE)</f>
        <v>0</v>
      </c>
    </row>
    <row r="1644" spans="7:11">
      <c r="G1644">
        <v>32</v>
      </c>
      <c r="H1644">
        <v>41</v>
      </c>
      <c r="I1644" s="2">
        <f>INT(DATE($B$3,1,1) + (32+0.5)*365/50)</f>
        <v>0</v>
      </c>
      <c r="J1644" s="2">
        <f>I1644 - INT(ROUND($B$4 * 30.4375, 0) * (41+0.5)/50)</f>
        <v>0</v>
      </c>
      <c r="K1644" s="4">
        <f>VLOOKUP(J1644, '1_Rate_Changes'!$A$2:$C$100, 3, TRUE)</f>
        <v>0</v>
      </c>
    </row>
    <row r="1645" spans="7:11">
      <c r="G1645">
        <v>32</v>
      </c>
      <c r="H1645">
        <v>42</v>
      </c>
      <c r="I1645" s="2">
        <f>INT(DATE($B$3,1,1) + (32+0.5)*365/50)</f>
        <v>0</v>
      </c>
      <c r="J1645" s="2">
        <f>I1645 - INT(ROUND($B$4 * 30.4375, 0) * (42+0.5)/50)</f>
        <v>0</v>
      </c>
      <c r="K1645" s="4">
        <f>VLOOKUP(J1645, '1_Rate_Changes'!$A$2:$C$100, 3, TRUE)</f>
        <v>0</v>
      </c>
    </row>
    <row r="1646" spans="7:11">
      <c r="G1646">
        <v>32</v>
      </c>
      <c r="H1646">
        <v>43</v>
      </c>
      <c r="I1646" s="2">
        <f>INT(DATE($B$3,1,1) + (32+0.5)*365/50)</f>
        <v>0</v>
      </c>
      <c r="J1646" s="2">
        <f>I1646 - INT(ROUND($B$4 * 30.4375, 0) * (43+0.5)/50)</f>
        <v>0</v>
      </c>
      <c r="K1646" s="4">
        <f>VLOOKUP(J1646, '1_Rate_Changes'!$A$2:$C$100, 3, TRUE)</f>
        <v>0</v>
      </c>
    </row>
    <row r="1647" spans="7:11">
      <c r="G1647">
        <v>32</v>
      </c>
      <c r="H1647">
        <v>44</v>
      </c>
      <c r="I1647" s="2">
        <f>INT(DATE($B$3,1,1) + (32+0.5)*365/50)</f>
        <v>0</v>
      </c>
      <c r="J1647" s="2">
        <f>I1647 - INT(ROUND($B$4 * 30.4375, 0) * (44+0.5)/50)</f>
        <v>0</v>
      </c>
      <c r="K1647" s="4">
        <f>VLOOKUP(J1647, '1_Rate_Changes'!$A$2:$C$100, 3, TRUE)</f>
        <v>0</v>
      </c>
    </row>
    <row r="1648" spans="7:11">
      <c r="G1648">
        <v>32</v>
      </c>
      <c r="H1648">
        <v>45</v>
      </c>
      <c r="I1648" s="2">
        <f>INT(DATE($B$3,1,1) + (32+0.5)*365/50)</f>
        <v>0</v>
      </c>
      <c r="J1648" s="2">
        <f>I1648 - INT(ROUND($B$4 * 30.4375, 0) * (45+0.5)/50)</f>
        <v>0</v>
      </c>
      <c r="K1648" s="4">
        <f>VLOOKUP(J1648, '1_Rate_Changes'!$A$2:$C$100, 3, TRUE)</f>
        <v>0</v>
      </c>
    </row>
    <row r="1649" spans="7:11">
      <c r="G1649">
        <v>32</v>
      </c>
      <c r="H1649">
        <v>46</v>
      </c>
      <c r="I1649" s="2">
        <f>INT(DATE($B$3,1,1) + (32+0.5)*365/50)</f>
        <v>0</v>
      </c>
      <c r="J1649" s="2">
        <f>I1649 - INT(ROUND($B$4 * 30.4375, 0) * (46+0.5)/50)</f>
        <v>0</v>
      </c>
      <c r="K1649" s="4">
        <f>VLOOKUP(J1649, '1_Rate_Changes'!$A$2:$C$100, 3, TRUE)</f>
        <v>0</v>
      </c>
    </row>
    <row r="1650" spans="7:11">
      <c r="G1650">
        <v>32</v>
      </c>
      <c r="H1650">
        <v>47</v>
      </c>
      <c r="I1650" s="2">
        <f>INT(DATE($B$3,1,1) + (32+0.5)*365/50)</f>
        <v>0</v>
      </c>
      <c r="J1650" s="2">
        <f>I1650 - INT(ROUND($B$4 * 30.4375, 0) * (47+0.5)/50)</f>
        <v>0</v>
      </c>
      <c r="K1650" s="4">
        <f>VLOOKUP(J1650, '1_Rate_Changes'!$A$2:$C$100, 3, TRUE)</f>
        <v>0</v>
      </c>
    </row>
    <row r="1651" spans="7:11">
      <c r="G1651">
        <v>32</v>
      </c>
      <c r="H1651">
        <v>48</v>
      </c>
      <c r="I1651" s="2">
        <f>INT(DATE($B$3,1,1) + (32+0.5)*365/50)</f>
        <v>0</v>
      </c>
      <c r="J1651" s="2">
        <f>I1651 - INT(ROUND($B$4 * 30.4375, 0) * (48+0.5)/50)</f>
        <v>0</v>
      </c>
      <c r="K1651" s="4">
        <f>VLOOKUP(J1651, '1_Rate_Changes'!$A$2:$C$100, 3, TRUE)</f>
        <v>0</v>
      </c>
    </row>
    <row r="1652" spans="7:11">
      <c r="G1652">
        <v>32</v>
      </c>
      <c r="H1652">
        <v>49</v>
      </c>
      <c r="I1652" s="2">
        <f>INT(DATE($B$3,1,1) + (32+0.5)*365/50)</f>
        <v>0</v>
      </c>
      <c r="J1652" s="2">
        <f>I1652 - INT(ROUND($B$4 * 30.4375, 0) * (49+0.5)/50)</f>
        <v>0</v>
      </c>
      <c r="K1652" s="4">
        <f>VLOOKUP(J1652, '1_Rate_Changes'!$A$2:$C$100, 3, TRUE)</f>
        <v>0</v>
      </c>
    </row>
    <row r="1653" spans="7:11">
      <c r="G1653">
        <v>33</v>
      </c>
      <c r="H1653">
        <v>0</v>
      </c>
      <c r="I1653" s="2">
        <f>INT(DATE($B$3,1,1) + (33+0.5)*365/50)</f>
        <v>0</v>
      </c>
      <c r="J1653" s="2">
        <f>I1653 - INT(ROUND($B$4 * 30.4375, 0) * (0+0.5)/50)</f>
        <v>0</v>
      </c>
      <c r="K1653" s="4">
        <f>VLOOKUP(J1653, '1_Rate_Changes'!$A$2:$C$100, 3, TRUE)</f>
        <v>0</v>
      </c>
    </row>
    <row r="1654" spans="7:11">
      <c r="G1654">
        <v>33</v>
      </c>
      <c r="H1654">
        <v>1</v>
      </c>
      <c r="I1654" s="2">
        <f>INT(DATE($B$3,1,1) + (33+0.5)*365/50)</f>
        <v>0</v>
      </c>
      <c r="J1654" s="2">
        <f>I1654 - INT(ROUND($B$4 * 30.4375, 0) * (1+0.5)/50)</f>
        <v>0</v>
      </c>
      <c r="K1654" s="4">
        <f>VLOOKUP(J1654, '1_Rate_Changes'!$A$2:$C$100, 3, TRUE)</f>
        <v>0</v>
      </c>
    </row>
    <row r="1655" spans="7:11">
      <c r="G1655">
        <v>33</v>
      </c>
      <c r="H1655">
        <v>2</v>
      </c>
      <c r="I1655" s="2">
        <f>INT(DATE($B$3,1,1) + (33+0.5)*365/50)</f>
        <v>0</v>
      </c>
      <c r="J1655" s="2">
        <f>I1655 - INT(ROUND($B$4 * 30.4375, 0) * (2+0.5)/50)</f>
        <v>0</v>
      </c>
      <c r="K1655" s="4">
        <f>VLOOKUP(J1655, '1_Rate_Changes'!$A$2:$C$100, 3, TRUE)</f>
        <v>0</v>
      </c>
    </row>
    <row r="1656" spans="7:11">
      <c r="G1656">
        <v>33</v>
      </c>
      <c r="H1656">
        <v>3</v>
      </c>
      <c r="I1656" s="2">
        <f>INT(DATE($B$3,1,1) + (33+0.5)*365/50)</f>
        <v>0</v>
      </c>
      <c r="J1656" s="2">
        <f>I1656 - INT(ROUND($B$4 * 30.4375, 0) * (3+0.5)/50)</f>
        <v>0</v>
      </c>
      <c r="K1656" s="4">
        <f>VLOOKUP(J1656, '1_Rate_Changes'!$A$2:$C$100, 3, TRUE)</f>
        <v>0</v>
      </c>
    </row>
    <row r="1657" spans="7:11">
      <c r="G1657">
        <v>33</v>
      </c>
      <c r="H1657">
        <v>4</v>
      </c>
      <c r="I1657" s="2">
        <f>INT(DATE($B$3,1,1) + (33+0.5)*365/50)</f>
        <v>0</v>
      </c>
      <c r="J1657" s="2">
        <f>I1657 - INT(ROUND($B$4 * 30.4375, 0) * (4+0.5)/50)</f>
        <v>0</v>
      </c>
      <c r="K1657" s="4">
        <f>VLOOKUP(J1657, '1_Rate_Changes'!$A$2:$C$100, 3, TRUE)</f>
        <v>0</v>
      </c>
    </row>
    <row r="1658" spans="7:11">
      <c r="G1658">
        <v>33</v>
      </c>
      <c r="H1658">
        <v>5</v>
      </c>
      <c r="I1658" s="2">
        <f>INT(DATE($B$3,1,1) + (33+0.5)*365/50)</f>
        <v>0</v>
      </c>
      <c r="J1658" s="2">
        <f>I1658 - INT(ROUND($B$4 * 30.4375, 0) * (5+0.5)/50)</f>
        <v>0</v>
      </c>
      <c r="K1658" s="4">
        <f>VLOOKUP(J1658, '1_Rate_Changes'!$A$2:$C$100, 3, TRUE)</f>
        <v>0</v>
      </c>
    </row>
    <row r="1659" spans="7:11">
      <c r="G1659">
        <v>33</v>
      </c>
      <c r="H1659">
        <v>6</v>
      </c>
      <c r="I1659" s="2">
        <f>INT(DATE($B$3,1,1) + (33+0.5)*365/50)</f>
        <v>0</v>
      </c>
      <c r="J1659" s="2">
        <f>I1659 - INT(ROUND($B$4 * 30.4375, 0) * (6+0.5)/50)</f>
        <v>0</v>
      </c>
      <c r="K1659" s="4">
        <f>VLOOKUP(J1659, '1_Rate_Changes'!$A$2:$C$100, 3, TRUE)</f>
        <v>0</v>
      </c>
    </row>
    <row r="1660" spans="7:11">
      <c r="G1660">
        <v>33</v>
      </c>
      <c r="H1660">
        <v>7</v>
      </c>
      <c r="I1660" s="2">
        <f>INT(DATE($B$3,1,1) + (33+0.5)*365/50)</f>
        <v>0</v>
      </c>
      <c r="J1660" s="2">
        <f>I1660 - INT(ROUND($B$4 * 30.4375, 0) * (7+0.5)/50)</f>
        <v>0</v>
      </c>
      <c r="K1660" s="4">
        <f>VLOOKUP(J1660, '1_Rate_Changes'!$A$2:$C$100, 3, TRUE)</f>
        <v>0</v>
      </c>
    </row>
    <row r="1661" spans="7:11">
      <c r="G1661">
        <v>33</v>
      </c>
      <c r="H1661">
        <v>8</v>
      </c>
      <c r="I1661" s="2">
        <f>INT(DATE($B$3,1,1) + (33+0.5)*365/50)</f>
        <v>0</v>
      </c>
      <c r="J1661" s="2">
        <f>I1661 - INT(ROUND($B$4 * 30.4375, 0) * (8+0.5)/50)</f>
        <v>0</v>
      </c>
      <c r="K1661" s="4">
        <f>VLOOKUP(J1661, '1_Rate_Changes'!$A$2:$C$100, 3, TRUE)</f>
        <v>0</v>
      </c>
    </row>
    <row r="1662" spans="7:11">
      <c r="G1662">
        <v>33</v>
      </c>
      <c r="H1662">
        <v>9</v>
      </c>
      <c r="I1662" s="2">
        <f>INT(DATE($B$3,1,1) + (33+0.5)*365/50)</f>
        <v>0</v>
      </c>
      <c r="J1662" s="2">
        <f>I1662 - INT(ROUND($B$4 * 30.4375, 0) * (9+0.5)/50)</f>
        <v>0</v>
      </c>
      <c r="K1662" s="4">
        <f>VLOOKUP(J1662, '1_Rate_Changes'!$A$2:$C$100, 3, TRUE)</f>
        <v>0</v>
      </c>
    </row>
    <row r="1663" spans="7:11">
      <c r="G1663">
        <v>33</v>
      </c>
      <c r="H1663">
        <v>10</v>
      </c>
      <c r="I1663" s="2">
        <f>INT(DATE($B$3,1,1) + (33+0.5)*365/50)</f>
        <v>0</v>
      </c>
      <c r="J1663" s="2">
        <f>I1663 - INT(ROUND($B$4 * 30.4375, 0) * (10+0.5)/50)</f>
        <v>0</v>
      </c>
      <c r="K1663" s="4">
        <f>VLOOKUP(J1663, '1_Rate_Changes'!$A$2:$C$100, 3, TRUE)</f>
        <v>0</v>
      </c>
    </row>
    <row r="1664" spans="7:11">
      <c r="G1664">
        <v>33</v>
      </c>
      <c r="H1664">
        <v>11</v>
      </c>
      <c r="I1664" s="2">
        <f>INT(DATE($B$3,1,1) + (33+0.5)*365/50)</f>
        <v>0</v>
      </c>
      <c r="J1664" s="2">
        <f>I1664 - INT(ROUND($B$4 * 30.4375, 0) * (11+0.5)/50)</f>
        <v>0</v>
      </c>
      <c r="K1664" s="4">
        <f>VLOOKUP(J1664, '1_Rate_Changes'!$A$2:$C$100, 3, TRUE)</f>
        <v>0</v>
      </c>
    </row>
    <row r="1665" spans="7:11">
      <c r="G1665">
        <v>33</v>
      </c>
      <c r="H1665">
        <v>12</v>
      </c>
      <c r="I1665" s="2">
        <f>INT(DATE($B$3,1,1) + (33+0.5)*365/50)</f>
        <v>0</v>
      </c>
      <c r="J1665" s="2">
        <f>I1665 - INT(ROUND($B$4 * 30.4375, 0) * (12+0.5)/50)</f>
        <v>0</v>
      </c>
      <c r="K1665" s="4">
        <f>VLOOKUP(J1665, '1_Rate_Changes'!$A$2:$C$100, 3, TRUE)</f>
        <v>0</v>
      </c>
    </row>
    <row r="1666" spans="7:11">
      <c r="G1666">
        <v>33</v>
      </c>
      <c r="H1666">
        <v>13</v>
      </c>
      <c r="I1666" s="2">
        <f>INT(DATE($B$3,1,1) + (33+0.5)*365/50)</f>
        <v>0</v>
      </c>
      <c r="J1666" s="2">
        <f>I1666 - INT(ROUND($B$4 * 30.4375, 0) * (13+0.5)/50)</f>
        <v>0</v>
      </c>
      <c r="K1666" s="4">
        <f>VLOOKUP(J1666, '1_Rate_Changes'!$A$2:$C$100, 3, TRUE)</f>
        <v>0</v>
      </c>
    </row>
    <row r="1667" spans="7:11">
      <c r="G1667">
        <v>33</v>
      </c>
      <c r="H1667">
        <v>14</v>
      </c>
      <c r="I1667" s="2">
        <f>INT(DATE($B$3,1,1) + (33+0.5)*365/50)</f>
        <v>0</v>
      </c>
      <c r="J1667" s="2">
        <f>I1667 - INT(ROUND($B$4 * 30.4375, 0) * (14+0.5)/50)</f>
        <v>0</v>
      </c>
      <c r="K1667" s="4">
        <f>VLOOKUP(J1667, '1_Rate_Changes'!$A$2:$C$100, 3, TRUE)</f>
        <v>0</v>
      </c>
    </row>
    <row r="1668" spans="7:11">
      <c r="G1668">
        <v>33</v>
      </c>
      <c r="H1668">
        <v>15</v>
      </c>
      <c r="I1668" s="2">
        <f>INT(DATE($B$3,1,1) + (33+0.5)*365/50)</f>
        <v>0</v>
      </c>
      <c r="J1668" s="2">
        <f>I1668 - INT(ROUND($B$4 * 30.4375, 0) * (15+0.5)/50)</f>
        <v>0</v>
      </c>
      <c r="K1668" s="4">
        <f>VLOOKUP(J1668, '1_Rate_Changes'!$A$2:$C$100, 3, TRUE)</f>
        <v>0</v>
      </c>
    </row>
    <row r="1669" spans="7:11">
      <c r="G1669">
        <v>33</v>
      </c>
      <c r="H1669">
        <v>16</v>
      </c>
      <c r="I1669" s="2">
        <f>INT(DATE($B$3,1,1) + (33+0.5)*365/50)</f>
        <v>0</v>
      </c>
      <c r="J1669" s="2">
        <f>I1669 - INT(ROUND($B$4 * 30.4375, 0) * (16+0.5)/50)</f>
        <v>0</v>
      </c>
      <c r="K1669" s="4">
        <f>VLOOKUP(J1669, '1_Rate_Changes'!$A$2:$C$100, 3, TRUE)</f>
        <v>0</v>
      </c>
    </row>
    <row r="1670" spans="7:11">
      <c r="G1670">
        <v>33</v>
      </c>
      <c r="H1670">
        <v>17</v>
      </c>
      <c r="I1670" s="2">
        <f>INT(DATE($B$3,1,1) + (33+0.5)*365/50)</f>
        <v>0</v>
      </c>
      <c r="J1670" s="2">
        <f>I1670 - INT(ROUND($B$4 * 30.4375, 0) * (17+0.5)/50)</f>
        <v>0</v>
      </c>
      <c r="K1670" s="4">
        <f>VLOOKUP(J1670, '1_Rate_Changes'!$A$2:$C$100, 3, TRUE)</f>
        <v>0</v>
      </c>
    </row>
    <row r="1671" spans="7:11">
      <c r="G1671">
        <v>33</v>
      </c>
      <c r="H1671">
        <v>18</v>
      </c>
      <c r="I1671" s="2">
        <f>INT(DATE($B$3,1,1) + (33+0.5)*365/50)</f>
        <v>0</v>
      </c>
      <c r="J1671" s="2">
        <f>I1671 - INT(ROUND($B$4 * 30.4375, 0) * (18+0.5)/50)</f>
        <v>0</v>
      </c>
      <c r="K1671" s="4">
        <f>VLOOKUP(J1671, '1_Rate_Changes'!$A$2:$C$100, 3, TRUE)</f>
        <v>0</v>
      </c>
    </row>
    <row r="1672" spans="7:11">
      <c r="G1672">
        <v>33</v>
      </c>
      <c r="H1672">
        <v>19</v>
      </c>
      <c r="I1672" s="2">
        <f>INT(DATE($B$3,1,1) + (33+0.5)*365/50)</f>
        <v>0</v>
      </c>
      <c r="J1672" s="2">
        <f>I1672 - INT(ROUND($B$4 * 30.4375, 0) * (19+0.5)/50)</f>
        <v>0</v>
      </c>
      <c r="K1672" s="4">
        <f>VLOOKUP(J1672, '1_Rate_Changes'!$A$2:$C$100, 3, TRUE)</f>
        <v>0</v>
      </c>
    </row>
    <row r="1673" spans="7:11">
      <c r="G1673">
        <v>33</v>
      </c>
      <c r="H1673">
        <v>20</v>
      </c>
      <c r="I1673" s="2">
        <f>INT(DATE($B$3,1,1) + (33+0.5)*365/50)</f>
        <v>0</v>
      </c>
      <c r="J1673" s="2">
        <f>I1673 - INT(ROUND($B$4 * 30.4375, 0) * (20+0.5)/50)</f>
        <v>0</v>
      </c>
      <c r="K1673" s="4">
        <f>VLOOKUP(J1673, '1_Rate_Changes'!$A$2:$C$100, 3, TRUE)</f>
        <v>0</v>
      </c>
    </row>
    <row r="1674" spans="7:11">
      <c r="G1674">
        <v>33</v>
      </c>
      <c r="H1674">
        <v>21</v>
      </c>
      <c r="I1674" s="2">
        <f>INT(DATE($B$3,1,1) + (33+0.5)*365/50)</f>
        <v>0</v>
      </c>
      <c r="J1674" s="2">
        <f>I1674 - INT(ROUND($B$4 * 30.4375, 0) * (21+0.5)/50)</f>
        <v>0</v>
      </c>
      <c r="K1674" s="4">
        <f>VLOOKUP(J1674, '1_Rate_Changes'!$A$2:$C$100, 3, TRUE)</f>
        <v>0</v>
      </c>
    </row>
    <row r="1675" spans="7:11">
      <c r="G1675">
        <v>33</v>
      </c>
      <c r="H1675">
        <v>22</v>
      </c>
      <c r="I1675" s="2">
        <f>INT(DATE($B$3,1,1) + (33+0.5)*365/50)</f>
        <v>0</v>
      </c>
      <c r="J1675" s="2">
        <f>I1675 - INT(ROUND($B$4 * 30.4375, 0) * (22+0.5)/50)</f>
        <v>0</v>
      </c>
      <c r="K1675" s="4">
        <f>VLOOKUP(J1675, '1_Rate_Changes'!$A$2:$C$100, 3, TRUE)</f>
        <v>0</v>
      </c>
    </row>
    <row r="1676" spans="7:11">
      <c r="G1676">
        <v>33</v>
      </c>
      <c r="H1676">
        <v>23</v>
      </c>
      <c r="I1676" s="2">
        <f>INT(DATE($B$3,1,1) + (33+0.5)*365/50)</f>
        <v>0</v>
      </c>
      <c r="J1676" s="2">
        <f>I1676 - INT(ROUND($B$4 * 30.4375, 0) * (23+0.5)/50)</f>
        <v>0</v>
      </c>
      <c r="K1676" s="4">
        <f>VLOOKUP(J1676, '1_Rate_Changes'!$A$2:$C$100, 3, TRUE)</f>
        <v>0</v>
      </c>
    </row>
    <row r="1677" spans="7:11">
      <c r="G1677">
        <v>33</v>
      </c>
      <c r="H1677">
        <v>24</v>
      </c>
      <c r="I1677" s="2">
        <f>INT(DATE($B$3,1,1) + (33+0.5)*365/50)</f>
        <v>0</v>
      </c>
      <c r="J1677" s="2">
        <f>I1677 - INT(ROUND($B$4 * 30.4375, 0) * (24+0.5)/50)</f>
        <v>0</v>
      </c>
      <c r="K1677" s="4">
        <f>VLOOKUP(J1677, '1_Rate_Changes'!$A$2:$C$100, 3, TRUE)</f>
        <v>0</v>
      </c>
    </row>
    <row r="1678" spans="7:11">
      <c r="G1678">
        <v>33</v>
      </c>
      <c r="H1678">
        <v>25</v>
      </c>
      <c r="I1678" s="2">
        <f>INT(DATE($B$3,1,1) + (33+0.5)*365/50)</f>
        <v>0</v>
      </c>
      <c r="J1678" s="2">
        <f>I1678 - INT(ROUND($B$4 * 30.4375, 0) * (25+0.5)/50)</f>
        <v>0</v>
      </c>
      <c r="K1678" s="4">
        <f>VLOOKUP(J1678, '1_Rate_Changes'!$A$2:$C$100, 3, TRUE)</f>
        <v>0</v>
      </c>
    </row>
    <row r="1679" spans="7:11">
      <c r="G1679">
        <v>33</v>
      </c>
      <c r="H1679">
        <v>26</v>
      </c>
      <c r="I1679" s="2">
        <f>INT(DATE($B$3,1,1) + (33+0.5)*365/50)</f>
        <v>0</v>
      </c>
      <c r="J1679" s="2">
        <f>I1679 - INT(ROUND($B$4 * 30.4375, 0) * (26+0.5)/50)</f>
        <v>0</v>
      </c>
      <c r="K1679" s="4">
        <f>VLOOKUP(J1679, '1_Rate_Changes'!$A$2:$C$100, 3, TRUE)</f>
        <v>0</v>
      </c>
    </row>
    <row r="1680" spans="7:11">
      <c r="G1680">
        <v>33</v>
      </c>
      <c r="H1680">
        <v>27</v>
      </c>
      <c r="I1680" s="2">
        <f>INT(DATE($B$3,1,1) + (33+0.5)*365/50)</f>
        <v>0</v>
      </c>
      <c r="J1680" s="2">
        <f>I1680 - INT(ROUND($B$4 * 30.4375, 0) * (27+0.5)/50)</f>
        <v>0</v>
      </c>
      <c r="K1680" s="4">
        <f>VLOOKUP(J1680, '1_Rate_Changes'!$A$2:$C$100, 3, TRUE)</f>
        <v>0</v>
      </c>
    </row>
    <row r="1681" spans="7:11">
      <c r="G1681">
        <v>33</v>
      </c>
      <c r="H1681">
        <v>28</v>
      </c>
      <c r="I1681" s="2">
        <f>INT(DATE($B$3,1,1) + (33+0.5)*365/50)</f>
        <v>0</v>
      </c>
      <c r="J1681" s="2">
        <f>I1681 - INT(ROUND($B$4 * 30.4375, 0) * (28+0.5)/50)</f>
        <v>0</v>
      </c>
      <c r="K1681" s="4">
        <f>VLOOKUP(J1681, '1_Rate_Changes'!$A$2:$C$100, 3, TRUE)</f>
        <v>0</v>
      </c>
    </row>
    <row r="1682" spans="7:11">
      <c r="G1682">
        <v>33</v>
      </c>
      <c r="H1682">
        <v>29</v>
      </c>
      <c r="I1682" s="2">
        <f>INT(DATE($B$3,1,1) + (33+0.5)*365/50)</f>
        <v>0</v>
      </c>
      <c r="J1682" s="2">
        <f>I1682 - INT(ROUND($B$4 * 30.4375, 0) * (29+0.5)/50)</f>
        <v>0</v>
      </c>
      <c r="K1682" s="4">
        <f>VLOOKUP(J1682, '1_Rate_Changes'!$A$2:$C$100, 3, TRUE)</f>
        <v>0</v>
      </c>
    </row>
    <row r="1683" spans="7:11">
      <c r="G1683">
        <v>33</v>
      </c>
      <c r="H1683">
        <v>30</v>
      </c>
      <c r="I1683" s="2">
        <f>INT(DATE($B$3,1,1) + (33+0.5)*365/50)</f>
        <v>0</v>
      </c>
      <c r="J1683" s="2">
        <f>I1683 - INT(ROUND($B$4 * 30.4375, 0) * (30+0.5)/50)</f>
        <v>0</v>
      </c>
      <c r="K1683" s="4">
        <f>VLOOKUP(J1683, '1_Rate_Changes'!$A$2:$C$100, 3, TRUE)</f>
        <v>0</v>
      </c>
    </row>
    <row r="1684" spans="7:11">
      <c r="G1684">
        <v>33</v>
      </c>
      <c r="H1684">
        <v>31</v>
      </c>
      <c r="I1684" s="2">
        <f>INT(DATE($B$3,1,1) + (33+0.5)*365/50)</f>
        <v>0</v>
      </c>
      <c r="J1684" s="2">
        <f>I1684 - INT(ROUND($B$4 * 30.4375, 0) * (31+0.5)/50)</f>
        <v>0</v>
      </c>
      <c r="K1684" s="4">
        <f>VLOOKUP(J1684, '1_Rate_Changes'!$A$2:$C$100, 3, TRUE)</f>
        <v>0</v>
      </c>
    </row>
    <row r="1685" spans="7:11">
      <c r="G1685">
        <v>33</v>
      </c>
      <c r="H1685">
        <v>32</v>
      </c>
      <c r="I1685" s="2">
        <f>INT(DATE($B$3,1,1) + (33+0.5)*365/50)</f>
        <v>0</v>
      </c>
      <c r="J1685" s="2">
        <f>I1685 - INT(ROUND($B$4 * 30.4375, 0) * (32+0.5)/50)</f>
        <v>0</v>
      </c>
      <c r="K1685" s="4">
        <f>VLOOKUP(J1685, '1_Rate_Changes'!$A$2:$C$100, 3, TRUE)</f>
        <v>0</v>
      </c>
    </row>
    <row r="1686" spans="7:11">
      <c r="G1686">
        <v>33</v>
      </c>
      <c r="H1686">
        <v>33</v>
      </c>
      <c r="I1686" s="2">
        <f>INT(DATE($B$3,1,1) + (33+0.5)*365/50)</f>
        <v>0</v>
      </c>
      <c r="J1686" s="2">
        <f>I1686 - INT(ROUND($B$4 * 30.4375, 0) * (33+0.5)/50)</f>
        <v>0</v>
      </c>
      <c r="K1686" s="4">
        <f>VLOOKUP(J1686, '1_Rate_Changes'!$A$2:$C$100, 3, TRUE)</f>
        <v>0</v>
      </c>
    </row>
    <row r="1687" spans="7:11">
      <c r="G1687">
        <v>33</v>
      </c>
      <c r="H1687">
        <v>34</v>
      </c>
      <c r="I1687" s="2">
        <f>INT(DATE($B$3,1,1) + (33+0.5)*365/50)</f>
        <v>0</v>
      </c>
      <c r="J1687" s="2">
        <f>I1687 - INT(ROUND($B$4 * 30.4375, 0) * (34+0.5)/50)</f>
        <v>0</v>
      </c>
      <c r="K1687" s="4">
        <f>VLOOKUP(J1687, '1_Rate_Changes'!$A$2:$C$100, 3, TRUE)</f>
        <v>0</v>
      </c>
    </row>
    <row r="1688" spans="7:11">
      <c r="G1688">
        <v>33</v>
      </c>
      <c r="H1688">
        <v>35</v>
      </c>
      <c r="I1688" s="2">
        <f>INT(DATE($B$3,1,1) + (33+0.5)*365/50)</f>
        <v>0</v>
      </c>
      <c r="J1688" s="2">
        <f>I1688 - INT(ROUND($B$4 * 30.4375, 0) * (35+0.5)/50)</f>
        <v>0</v>
      </c>
      <c r="K1688" s="4">
        <f>VLOOKUP(J1688, '1_Rate_Changes'!$A$2:$C$100, 3, TRUE)</f>
        <v>0</v>
      </c>
    </row>
    <row r="1689" spans="7:11">
      <c r="G1689">
        <v>33</v>
      </c>
      <c r="H1689">
        <v>36</v>
      </c>
      <c r="I1689" s="2">
        <f>INT(DATE($B$3,1,1) + (33+0.5)*365/50)</f>
        <v>0</v>
      </c>
      <c r="J1689" s="2">
        <f>I1689 - INT(ROUND($B$4 * 30.4375, 0) * (36+0.5)/50)</f>
        <v>0</v>
      </c>
      <c r="K1689" s="4">
        <f>VLOOKUP(J1689, '1_Rate_Changes'!$A$2:$C$100, 3, TRUE)</f>
        <v>0</v>
      </c>
    </row>
    <row r="1690" spans="7:11">
      <c r="G1690">
        <v>33</v>
      </c>
      <c r="H1690">
        <v>37</v>
      </c>
      <c r="I1690" s="2">
        <f>INT(DATE($B$3,1,1) + (33+0.5)*365/50)</f>
        <v>0</v>
      </c>
      <c r="J1690" s="2">
        <f>I1690 - INT(ROUND($B$4 * 30.4375, 0) * (37+0.5)/50)</f>
        <v>0</v>
      </c>
      <c r="K1690" s="4">
        <f>VLOOKUP(J1690, '1_Rate_Changes'!$A$2:$C$100, 3, TRUE)</f>
        <v>0</v>
      </c>
    </row>
    <row r="1691" spans="7:11">
      <c r="G1691">
        <v>33</v>
      </c>
      <c r="H1691">
        <v>38</v>
      </c>
      <c r="I1691" s="2">
        <f>INT(DATE($B$3,1,1) + (33+0.5)*365/50)</f>
        <v>0</v>
      </c>
      <c r="J1691" s="2">
        <f>I1691 - INT(ROUND($B$4 * 30.4375, 0) * (38+0.5)/50)</f>
        <v>0</v>
      </c>
      <c r="K1691" s="4">
        <f>VLOOKUP(J1691, '1_Rate_Changes'!$A$2:$C$100, 3, TRUE)</f>
        <v>0</v>
      </c>
    </row>
    <row r="1692" spans="7:11">
      <c r="G1692">
        <v>33</v>
      </c>
      <c r="H1692">
        <v>39</v>
      </c>
      <c r="I1692" s="2">
        <f>INT(DATE($B$3,1,1) + (33+0.5)*365/50)</f>
        <v>0</v>
      </c>
      <c r="J1692" s="2">
        <f>I1692 - INT(ROUND($B$4 * 30.4375, 0) * (39+0.5)/50)</f>
        <v>0</v>
      </c>
      <c r="K1692" s="4">
        <f>VLOOKUP(J1692, '1_Rate_Changes'!$A$2:$C$100, 3, TRUE)</f>
        <v>0</v>
      </c>
    </row>
    <row r="1693" spans="7:11">
      <c r="G1693">
        <v>33</v>
      </c>
      <c r="H1693">
        <v>40</v>
      </c>
      <c r="I1693" s="2">
        <f>INT(DATE($B$3,1,1) + (33+0.5)*365/50)</f>
        <v>0</v>
      </c>
      <c r="J1693" s="2">
        <f>I1693 - INT(ROUND($B$4 * 30.4375, 0) * (40+0.5)/50)</f>
        <v>0</v>
      </c>
      <c r="K1693" s="4">
        <f>VLOOKUP(J1693, '1_Rate_Changes'!$A$2:$C$100, 3, TRUE)</f>
        <v>0</v>
      </c>
    </row>
    <row r="1694" spans="7:11">
      <c r="G1694">
        <v>33</v>
      </c>
      <c r="H1694">
        <v>41</v>
      </c>
      <c r="I1694" s="2">
        <f>INT(DATE($B$3,1,1) + (33+0.5)*365/50)</f>
        <v>0</v>
      </c>
      <c r="J1694" s="2">
        <f>I1694 - INT(ROUND($B$4 * 30.4375, 0) * (41+0.5)/50)</f>
        <v>0</v>
      </c>
      <c r="K1694" s="4">
        <f>VLOOKUP(J1694, '1_Rate_Changes'!$A$2:$C$100, 3, TRUE)</f>
        <v>0</v>
      </c>
    </row>
    <row r="1695" spans="7:11">
      <c r="G1695">
        <v>33</v>
      </c>
      <c r="H1695">
        <v>42</v>
      </c>
      <c r="I1695" s="2">
        <f>INT(DATE($B$3,1,1) + (33+0.5)*365/50)</f>
        <v>0</v>
      </c>
      <c r="J1695" s="2">
        <f>I1695 - INT(ROUND($B$4 * 30.4375, 0) * (42+0.5)/50)</f>
        <v>0</v>
      </c>
      <c r="K1695" s="4">
        <f>VLOOKUP(J1695, '1_Rate_Changes'!$A$2:$C$100, 3, TRUE)</f>
        <v>0</v>
      </c>
    </row>
    <row r="1696" spans="7:11">
      <c r="G1696">
        <v>33</v>
      </c>
      <c r="H1696">
        <v>43</v>
      </c>
      <c r="I1696" s="2">
        <f>INT(DATE($B$3,1,1) + (33+0.5)*365/50)</f>
        <v>0</v>
      </c>
      <c r="J1696" s="2">
        <f>I1696 - INT(ROUND($B$4 * 30.4375, 0) * (43+0.5)/50)</f>
        <v>0</v>
      </c>
      <c r="K1696" s="4">
        <f>VLOOKUP(J1696, '1_Rate_Changes'!$A$2:$C$100, 3, TRUE)</f>
        <v>0</v>
      </c>
    </row>
    <row r="1697" spans="7:11">
      <c r="G1697">
        <v>33</v>
      </c>
      <c r="H1697">
        <v>44</v>
      </c>
      <c r="I1697" s="2">
        <f>INT(DATE($B$3,1,1) + (33+0.5)*365/50)</f>
        <v>0</v>
      </c>
      <c r="J1697" s="2">
        <f>I1697 - INT(ROUND($B$4 * 30.4375, 0) * (44+0.5)/50)</f>
        <v>0</v>
      </c>
      <c r="K1697" s="4">
        <f>VLOOKUP(J1697, '1_Rate_Changes'!$A$2:$C$100, 3, TRUE)</f>
        <v>0</v>
      </c>
    </row>
    <row r="1698" spans="7:11">
      <c r="G1698">
        <v>33</v>
      </c>
      <c r="H1698">
        <v>45</v>
      </c>
      <c r="I1698" s="2">
        <f>INT(DATE($B$3,1,1) + (33+0.5)*365/50)</f>
        <v>0</v>
      </c>
      <c r="J1698" s="2">
        <f>I1698 - INT(ROUND($B$4 * 30.4375, 0) * (45+0.5)/50)</f>
        <v>0</v>
      </c>
      <c r="K1698" s="4">
        <f>VLOOKUP(J1698, '1_Rate_Changes'!$A$2:$C$100, 3, TRUE)</f>
        <v>0</v>
      </c>
    </row>
    <row r="1699" spans="7:11">
      <c r="G1699">
        <v>33</v>
      </c>
      <c r="H1699">
        <v>46</v>
      </c>
      <c r="I1699" s="2">
        <f>INT(DATE($B$3,1,1) + (33+0.5)*365/50)</f>
        <v>0</v>
      </c>
      <c r="J1699" s="2">
        <f>I1699 - INT(ROUND($B$4 * 30.4375, 0) * (46+0.5)/50)</f>
        <v>0</v>
      </c>
      <c r="K1699" s="4">
        <f>VLOOKUP(J1699, '1_Rate_Changes'!$A$2:$C$100, 3, TRUE)</f>
        <v>0</v>
      </c>
    </row>
    <row r="1700" spans="7:11">
      <c r="G1700">
        <v>33</v>
      </c>
      <c r="H1700">
        <v>47</v>
      </c>
      <c r="I1700" s="2">
        <f>INT(DATE($B$3,1,1) + (33+0.5)*365/50)</f>
        <v>0</v>
      </c>
      <c r="J1700" s="2">
        <f>I1700 - INT(ROUND($B$4 * 30.4375, 0) * (47+0.5)/50)</f>
        <v>0</v>
      </c>
      <c r="K1700" s="4">
        <f>VLOOKUP(J1700, '1_Rate_Changes'!$A$2:$C$100, 3, TRUE)</f>
        <v>0</v>
      </c>
    </row>
    <row r="1701" spans="7:11">
      <c r="G1701">
        <v>33</v>
      </c>
      <c r="H1701">
        <v>48</v>
      </c>
      <c r="I1701" s="2">
        <f>INT(DATE($B$3,1,1) + (33+0.5)*365/50)</f>
        <v>0</v>
      </c>
      <c r="J1701" s="2">
        <f>I1701 - INT(ROUND($B$4 * 30.4375, 0) * (48+0.5)/50)</f>
        <v>0</v>
      </c>
      <c r="K1701" s="4">
        <f>VLOOKUP(J1701, '1_Rate_Changes'!$A$2:$C$100, 3, TRUE)</f>
        <v>0</v>
      </c>
    </row>
    <row r="1702" spans="7:11">
      <c r="G1702">
        <v>33</v>
      </c>
      <c r="H1702">
        <v>49</v>
      </c>
      <c r="I1702" s="2">
        <f>INT(DATE($B$3,1,1) + (33+0.5)*365/50)</f>
        <v>0</v>
      </c>
      <c r="J1702" s="2">
        <f>I1702 - INT(ROUND($B$4 * 30.4375, 0) * (49+0.5)/50)</f>
        <v>0</v>
      </c>
      <c r="K1702" s="4">
        <f>VLOOKUP(J1702, '1_Rate_Changes'!$A$2:$C$100, 3, TRUE)</f>
        <v>0</v>
      </c>
    </row>
    <row r="1703" spans="7:11">
      <c r="G1703">
        <v>34</v>
      </c>
      <c r="H1703">
        <v>0</v>
      </c>
      <c r="I1703" s="2">
        <f>INT(DATE($B$3,1,1) + (34+0.5)*365/50)</f>
        <v>0</v>
      </c>
      <c r="J1703" s="2">
        <f>I1703 - INT(ROUND($B$4 * 30.4375, 0) * (0+0.5)/50)</f>
        <v>0</v>
      </c>
      <c r="K1703" s="4">
        <f>VLOOKUP(J1703, '1_Rate_Changes'!$A$2:$C$100, 3, TRUE)</f>
        <v>0</v>
      </c>
    </row>
    <row r="1704" spans="7:11">
      <c r="G1704">
        <v>34</v>
      </c>
      <c r="H1704">
        <v>1</v>
      </c>
      <c r="I1704" s="2">
        <f>INT(DATE($B$3,1,1) + (34+0.5)*365/50)</f>
        <v>0</v>
      </c>
      <c r="J1704" s="2">
        <f>I1704 - INT(ROUND($B$4 * 30.4375, 0) * (1+0.5)/50)</f>
        <v>0</v>
      </c>
      <c r="K1704" s="4">
        <f>VLOOKUP(J1704, '1_Rate_Changes'!$A$2:$C$100, 3, TRUE)</f>
        <v>0</v>
      </c>
    </row>
    <row r="1705" spans="7:11">
      <c r="G1705">
        <v>34</v>
      </c>
      <c r="H1705">
        <v>2</v>
      </c>
      <c r="I1705" s="2">
        <f>INT(DATE($B$3,1,1) + (34+0.5)*365/50)</f>
        <v>0</v>
      </c>
      <c r="J1705" s="2">
        <f>I1705 - INT(ROUND($B$4 * 30.4375, 0) * (2+0.5)/50)</f>
        <v>0</v>
      </c>
      <c r="K1705" s="4">
        <f>VLOOKUP(J1705, '1_Rate_Changes'!$A$2:$C$100, 3, TRUE)</f>
        <v>0</v>
      </c>
    </row>
    <row r="1706" spans="7:11">
      <c r="G1706">
        <v>34</v>
      </c>
      <c r="H1706">
        <v>3</v>
      </c>
      <c r="I1706" s="2">
        <f>INT(DATE($B$3,1,1) + (34+0.5)*365/50)</f>
        <v>0</v>
      </c>
      <c r="J1706" s="2">
        <f>I1706 - INT(ROUND($B$4 * 30.4375, 0) * (3+0.5)/50)</f>
        <v>0</v>
      </c>
      <c r="K1706" s="4">
        <f>VLOOKUP(J1706, '1_Rate_Changes'!$A$2:$C$100, 3, TRUE)</f>
        <v>0</v>
      </c>
    </row>
    <row r="1707" spans="7:11">
      <c r="G1707">
        <v>34</v>
      </c>
      <c r="H1707">
        <v>4</v>
      </c>
      <c r="I1707" s="2">
        <f>INT(DATE($B$3,1,1) + (34+0.5)*365/50)</f>
        <v>0</v>
      </c>
      <c r="J1707" s="2">
        <f>I1707 - INT(ROUND($B$4 * 30.4375, 0) * (4+0.5)/50)</f>
        <v>0</v>
      </c>
      <c r="K1707" s="4">
        <f>VLOOKUP(J1707, '1_Rate_Changes'!$A$2:$C$100, 3, TRUE)</f>
        <v>0</v>
      </c>
    </row>
    <row r="1708" spans="7:11">
      <c r="G1708">
        <v>34</v>
      </c>
      <c r="H1708">
        <v>5</v>
      </c>
      <c r="I1708" s="2">
        <f>INT(DATE($B$3,1,1) + (34+0.5)*365/50)</f>
        <v>0</v>
      </c>
      <c r="J1708" s="2">
        <f>I1708 - INT(ROUND($B$4 * 30.4375, 0) * (5+0.5)/50)</f>
        <v>0</v>
      </c>
      <c r="K1708" s="4">
        <f>VLOOKUP(J1708, '1_Rate_Changes'!$A$2:$C$100, 3, TRUE)</f>
        <v>0</v>
      </c>
    </row>
    <row r="1709" spans="7:11">
      <c r="G1709">
        <v>34</v>
      </c>
      <c r="H1709">
        <v>6</v>
      </c>
      <c r="I1709" s="2">
        <f>INT(DATE($B$3,1,1) + (34+0.5)*365/50)</f>
        <v>0</v>
      </c>
      <c r="J1709" s="2">
        <f>I1709 - INT(ROUND($B$4 * 30.4375, 0) * (6+0.5)/50)</f>
        <v>0</v>
      </c>
      <c r="K1709" s="4">
        <f>VLOOKUP(J1709, '1_Rate_Changes'!$A$2:$C$100, 3, TRUE)</f>
        <v>0</v>
      </c>
    </row>
    <row r="1710" spans="7:11">
      <c r="G1710">
        <v>34</v>
      </c>
      <c r="H1710">
        <v>7</v>
      </c>
      <c r="I1710" s="2">
        <f>INT(DATE($B$3,1,1) + (34+0.5)*365/50)</f>
        <v>0</v>
      </c>
      <c r="J1710" s="2">
        <f>I1710 - INT(ROUND($B$4 * 30.4375, 0) * (7+0.5)/50)</f>
        <v>0</v>
      </c>
      <c r="K1710" s="4">
        <f>VLOOKUP(J1710, '1_Rate_Changes'!$A$2:$C$100, 3, TRUE)</f>
        <v>0</v>
      </c>
    </row>
    <row r="1711" spans="7:11">
      <c r="G1711">
        <v>34</v>
      </c>
      <c r="H1711">
        <v>8</v>
      </c>
      <c r="I1711" s="2">
        <f>INT(DATE($B$3,1,1) + (34+0.5)*365/50)</f>
        <v>0</v>
      </c>
      <c r="J1711" s="2">
        <f>I1711 - INT(ROUND($B$4 * 30.4375, 0) * (8+0.5)/50)</f>
        <v>0</v>
      </c>
      <c r="K1711" s="4">
        <f>VLOOKUP(J1711, '1_Rate_Changes'!$A$2:$C$100, 3, TRUE)</f>
        <v>0</v>
      </c>
    </row>
    <row r="1712" spans="7:11">
      <c r="G1712">
        <v>34</v>
      </c>
      <c r="H1712">
        <v>9</v>
      </c>
      <c r="I1712" s="2">
        <f>INT(DATE($B$3,1,1) + (34+0.5)*365/50)</f>
        <v>0</v>
      </c>
      <c r="J1712" s="2">
        <f>I1712 - INT(ROUND($B$4 * 30.4375, 0) * (9+0.5)/50)</f>
        <v>0</v>
      </c>
      <c r="K1712" s="4">
        <f>VLOOKUP(J1712, '1_Rate_Changes'!$A$2:$C$100, 3, TRUE)</f>
        <v>0</v>
      </c>
    </row>
    <row r="1713" spans="7:11">
      <c r="G1713">
        <v>34</v>
      </c>
      <c r="H1713">
        <v>10</v>
      </c>
      <c r="I1713" s="2">
        <f>INT(DATE($B$3,1,1) + (34+0.5)*365/50)</f>
        <v>0</v>
      </c>
      <c r="J1713" s="2">
        <f>I1713 - INT(ROUND($B$4 * 30.4375, 0) * (10+0.5)/50)</f>
        <v>0</v>
      </c>
      <c r="K1713" s="4">
        <f>VLOOKUP(J1713, '1_Rate_Changes'!$A$2:$C$100, 3, TRUE)</f>
        <v>0</v>
      </c>
    </row>
    <row r="1714" spans="7:11">
      <c r="G1714">
        <v>34</v>
      </c>
      <c r="H1714">
        <v>11</v>
      </c>
      <c r="I1714" s="2">
        <f>INT(DATE($B$3,1,1) + (34+0.5)*365/50)</f>
        <v>0</v>
      </c>
      <c r="J1714" s="2">
        <f>I1714 - INT(ROUND($B$4 * 30.4375, 0) * (11+0.5)/50)</f>
        <v>0</v>
      </c>
      <c r="K1714" s="4">
        <f>VLOOKUP(J1714, '1_Rate_Changes'!$A$2:$C$100, 3, TRUE)</f>
        <v>0</v>
      </c>
    </row>
    <row r="1715" spans="7:11">
      <c r="G1715">
        <v>34</v>
      </c>
      <c r="H1715">
        <v>12</v>
      </c>
      <c r="I1715" s="2">
        <f>INT(DATE($B$3,1,1) + (34+0.5)*365/50)</f>
        <v>0</v>
      </c>
      <c r="J1715" s="2">
        <f>I1715 - INT(ROUND($B$4 * 30.4375, 0) * (12+0.5)/50)</f>
        <v>0</v>
      </c>
      <c r="K1715" s="4">
        <f>VLOOKUP(J1715, '1_Rate_Changes'!$A$2:$C$100, 3, TRUE)</f>
        <v>0</v>
      </c>
    </row>
    <row r="1716" spans="7:11">
      <c r="G1716">
        <v>34</v>
      </c>
      <c r="H1716">
        <v>13</v>
      </c>
      <c r="I1716" s="2">
        <f>INT(DATE($B$3,1,1) + (34+0.5)*365/50)</f>
        <v>0</v>
      </c>
      <c r="J1716" s="2">
        <f>I1716 - INT(ROUND($B$4 * 30.4375, 0) * (13+0.5)/50)</f>
        <v>0</v>
      </c>
      <c r="K1716" s="4">
        <f>VLOOKUP(J1716, '1_Rate_Changes'!$A$2:$C$100, 3, TRUE)</f>
        <v>0</v>
      </c>
    </row>
    <row r="1717" spans="7:11">
      <c r="G1717">
        <v>34</v>
      </c>
      <c r="H1717">
        <v>14</v>
      </c>
      <c r="I1717" s="2">
        <f>INT(DATE($B$3,1,1) + (34+0.5)*365/50)</f>
        <v>0</v>
      </c>
      <c r="J1717" s="2">
        <f>I1717 - INT(ROUND($B$4 * 30.4375, 0) * (14+0.5)/50)</f>
        <v>0</v>
      </c>
      <c r="K1717" s="4">
        <f>VLOOKUP(J1717, '1_Rate_Changes'!$A$2:$C$100, 3, TRUE)</f>
        <v>0</v>
      </c>
    </row>
    <row r="1718" spans="7:11">
      <c r="G1718">
        <v>34</v>
      </c>
      <c r="H1718">
        <v>15</v>
      </c>
      <c r="I1718" s="2">
        <f>INT(DATE($B$3,1,1) + (34+0.5)*365/50)</f>
        <v>0</v>
      </c>
      <c r="J1718" s="2">
        <f>I1718 - INT(ROUND($B$4 * 30.4375, 0) * (15+0.5)/50)</f>
        <v>0</v>
      </c>
      <c r="K1718" s="4">
        <f>VLOOKUP(J1718, '1_Rate_Changes'!$A$2:$C$100, 3, TRUE)</f>
        <v>0</v>
      </c>
    </row>
    <row r="1719" spans="7:11">
      <c r="G1719">
        <v>34</v>
      </c>
      <c r="H1719">
        <v>16</v>
      </c>
      <c r="I1719" s="2">
        <f>INT(DATE($B$3,1,1) + (34+0.5)*365/50)</f>
        <v>0</v>
      </c>
      <c r="J1719" s="2">
        <f>I1719 - INT(ROUND($B$4 * 30.4375, 0) * (16+0.5)/50)</f>
        <v>0</v>
      </c>
      <c r="K1719" s="4">
        <f>VLOOKUP(J1719, '1_Rate_Changes'!$A$2:$C$100, 3, TRUE)</f>
        <v>0</v>
      </c>
    </row>
    <row r="1720" spans="7:11">
      <c r="G1720">
        <v>34</v>
      </c>
      <c r="H1720">
        <v>17</v>
      </c>
      <c r="I1720" s="2">
        <f>INT(DATE($B$3,1,1) + (34+0.5)*365/50)</f>
        <v>0</v>
      </c>
      <c r="J1720" s="2">
        <f>I1720 - INT(ROUND($B$4 * 30.4375, 0) * (17+0.5)/50)</f>
        <v>0</v>
      </c>
      <c r="K1720" s="4">
        <f>VLOOKUP(J1720, '1_Rate_Changes'!$A$2:$C$100, 3, TRUE)</f>
        <v>0</v>
      </c>
    </row>
    <row r="1721" spans="7:11">
      <c r="G1721">
        <v>34</v>
      </c>
      <c r="H1721">
        <v>18</v>
      </c>
      <c r="I1721" s="2">
        <f>INT(DATE($B$3,1,1) + (34+0.5)*365/50)</f>
        <v>0</v>
      </c>
      <c r="J1721" s="2">
        <f>I1721 - INT(ROUND($B$4 * 30.4375, 0) * (18+0.5)/50)</f>
        <v>0</v>
      </c>
      <c r="K1721" s="4">
        <f>VLOOKUP(J1721, '1_Rate_Changes'!$A$2:$C$100, 3, TRUE)</f>
        <v>0</v>
      </c>
    </row>
    <row r="1722" spans="7:11">
      <c r="G1722">
        <v>34</v>
      </c>
      <c r="H1722">
        <v>19</v>
      </c>
      <c r="I1722" s="2">
        <f>INT(DATE($B$3,1,1) + (34+0.5)*365/50)</f>
        <v>0</v>
      </c>
      <c r="J1722" s="2">
        <f>I1722 - INT(ROUND($B$4 * 30.4375, 0) * (19+0.5)/50)</f>
        <v>0</v>
      </c>
      <c r="K1722" s="4">
        <f>VLOOKUP(J1722, '1_Rate_Changes'!$A$2:$C$100, 3, TRUE)</f>
        <v>0</v>
      </c>
    </row>
    <row r="1723" spans="7:11">
      <c r="G1723">
        <v>34</v>
      </c>
      <c r="H1723">
        <v>20</v>
      </c>
      <c r="I1723" s="2">
        <f>INT(DATE($B$3,1,1) + (34+0.5)*365/50)</f>
        <v>0</v>
      </c>
      <c r="J1723" s="2">
        <f>I1723 - INT(ROUND($B$4 * 30.4375, 0) * (20+0.5)/50)</f>
        <v>0</v>
      </c>
      <c r="K1723" s="4">
        <f>VLOOKUP(J1723, '1_Rate_Changes'!$A$2:$C$100, 3, TRUE)</f>
        <v>0</v>
      </c>
    </row>
    <row r="1724" spans="7:11">
      <c r="G1724">
        <v>34</v>
      </c>
      <c r="H1724">
        <v>21</v>
      </c>
      <c r="I1724" s="2">
        <f>INT(DATE($B$3,1,1) + (34+0.5)*365/50)</f>
        <v>0</v>
      </c>
      <c r="J1724" s="2">
        <f>I1724 - INT(ROUND($B$4 * 30.4375, 0) * (21+0.5)/50)</f>
        <v>0</v>
      </c>
      <c r="K1724" s="4">
        <f>VLOOKUP(J1724, '1_Rate_Changes'!$A$2:$C$100, 3, TRUE)</f>
        <v>0</v>
      </c>
    </row>
    <row r="1725" spans="7:11">
      <c r="G1725">
        <v>34</v>
      </c>
      <c r="H1725">
        <v>22</v>
      </c>
      <c r="I1725" s="2">
        <f>INT(DATE($B$3,1,1) + (34+0.5)*365/50)</f>
        <v>0</v>
      </c>
      <c r="J1725" s="2">
        <f>I1725 - INT(ROUND($B$4 * 30.4375, 0) * (22+0.5)/50)</f>
        <v>0</v>
      </c>
      <c r="K1725" s="4">
        <f>VLOOKUP(J1725, '1_Rate_Changes'!$A$2:$C$100, 3, TRUE)</f>
        <v>0</v>
      </c>
    </row>
    <row r="1726" spans="7:11">
      <c r="G1726">
        <v>34</v>
      </c>
      <c r="H1726">
        <v>23</v>
      </c>
      <c r="I1726" s="2">
        <f>INT(DATE($B$3,1,1) + (34+0.5)*365/50)</f>
        <v>0</v>
      </c>
      <c r="J1726" s="2">
        <f>I1726 - INT(ROUND($B$4 * 30.4375, 0) * (23+0.5)/50)</f>
        <v>0</v>
      </c>
      <c r="K1726" s="4">
        <f>VLOOKUP(J1726, '1_Rate_Changes'!$A$2:$C$100, 3, TRUE)</f>
        <v>0</v>
      </c>
    </row>
    <row r="1727" spans="7:11">
      <c r="G1727">
        <v>34</v>
      </c>
      <c r="H1727">
        <v>24</v>
      </c>
      <c r="I1727" s="2">
        <f>INT(DATE($B$3,1,1) + (34+0.5)*365/50)</f>
        <v>0</v>
      </c>
      <c r="J1727" s="2">
        <f>I1727 - INT(ROUND($B$4 * 30.4375, 0) * (24+0.5)/50)</f>
        <v>0</v>
      </c>
      <c r="K1727" s="4">
        <f>VLOOKUP(J1727, '1_Rate_Changes'!$A$2:$C$100, 3, TRUE)</f>
        <v>0</v>
      </c>
    </row>
    <row r="1728" spans="7:11">
      <c r="G1728">
        <v>34</v>
      </c>
      <c r="H1728">
        <v>25</v>
      </c>
      <c r="I1728" s="2">
        <f>INT(DATE($B$3,1,1) + (34+0.5)*365/50)</f>
        <v>0</v>
      </c>
      <c r="J1728" s="2">
        <f>I1728 - INT(ROUND($B$4 * 30.4375, 0) * (25+0.5)/50)</f>
        <v>0</v>
      </c>
      <c r="K1728" s="4">
        <f>VLOOKUP(J1728, '1_Rate_Changes'!$A$2:$C$100, 3, TRUE)</f>
        <v>0</v>
      </c>
    </row>
    <row r="1729" spans="7:11">
      <c r="G1729">
        <v>34</v>
      </c>
      <c r="H1729">
        <v>26</v>
      </c>
      <c r="I1729" s="2">
        <f>INT(DATE($B$3,1,1) + (34+0.5)*365/50)</f>
        <v>0</v>
      </c>
      <c r="J1729" s="2">
        <f>I1729 - INT(ROUND($B$4 * 30.4375, 0) * (26+0.5)/50)</f>
        <v>0</v>
      </c>
      <c r="K1729" s="4">
        <f>VLOOKUP(J1729, '1_Rate_Changes'!$A$2:$C$100, 3, TRUE)</f>
        <v>0</v>
      </c>
    </row>
    <row r="1730" spans="7:11">
      <c r="G1730">
        <v>34</v>
      </c>
      <c r="H1730">
        <v>27</v>
      </c>
      <c r="I1730" s="2">
        <f>INT(DATE($B$3,1,1) + (34+0.5)*365/50)</f>
        <v>0</v>
      </c>
      <c r="J1730" s="2">
        <f>I1730 - INT(ROUND($B$4 * 30.4375, 0) * (27+0.5)/50)</f>
        <v>0</v>
      </c>
      <c r="K1730" s="4">
        <f>VLOOKUP(J1730, '1_Rate_Changes'!$A$2:$C$100, 3, TRUE)</f>
        <v>0</v>
      </c>
    </row>
    <row r="1731" spans="7:11">
      <c r="G1731">
        <v>34</v>
      </c>
      <c r="H1731">
        <v>28</v>
      </c>
      <c r="I1731" s="2">
        <f>INT(DATE($B$3,1,1) + (34+0.5)*365/50)</f>
        <v>0</v>
      </c>
      <c r="J1731" s="2">
        <f>I1731 - INT(ROUND($B$4 * 30.4375, 0) * (28+0.5)/50)</f>
        <v>0</v>
      </c>
      <c r="K1731" s="4">
        <f>VLOOKUP(J1731, '1_Rate_Changes'!$A$2:$C$100, 3, TRUE)</f>
        <v>0</v>
      </c>
    </row>
    <row r="1732" spans="7:11">
      <c r="G1732">
        <v>34</v>
      </c>
      <c r="H1732">
        <v>29</v>
      </c>
      <c r="I1732" s="2">
        <f>INT(DATE($B$3,1,1) + (34+0.5)*365/50)</f>
        <v>0</v>
      </c>
      <c r="J1732" s="2">
        <f>I1732 - INT(ROUND($B$4 * 30.4375, 0) * (29+0.5)/50)</f>
        <v>0</v>
      </c>
      <c r="K1732" s="4">
        <f>VLOOKUP(J1732, '1_Rate_Changes'!$A$2:$C$100, 3, TRUE)</f>
        <v>0</v>
      </c>
    </row>
    <row r="1733" spans="7:11">
      <c r="G1733">
        <v>34</v>
      </c>
      <c r="H1733">
        <v>30</v>
      </c>
      <c r="I1733" s="2">
        <f>INT(DATE($B$3,1,1) + (34+0.5)*365/50)</f>
        <v>0</v>
      </c>
      <c r="J1733" s="2">
        <f>I1733 - INT(ROUND($B$4 * 30.4375, 0) * (30+0.5)/50)</f>
        <v>0</v>
      </c>
      <c r="K1733" s="4">
        <f>VLOOKUP(J1733, '1_Rate_Changes'!$A$2:$C$100, 3, TRUE)</f>
        <v>0</v>
      </c>
    </row>
    <row r="1734" spans="7:11">
      <c r="G1734">
        <v>34</v>
      </c>
      <c r="H1734">
        <v>31</v>
      </c>
      <c r="I1734" s="2">
        <f>INT(DATE($B$3,1,1) + (34+0.5)*365/50)</f>
        <v>0</v>
      </c>
      <c r="J1734" s="2">
        <f>I1734 - INT(ROUND($B$4 * 30.4375, 0) * (31+0.5)/50)</f>
        <v>0</v>
      </c>
      <c r="K1734" s="4">
        <f>VLOOKUP(J1734, '1_Rate_Changes'!$A$2:$C$100, 3, TRUE)</f>
        <v>0</v>
      </c>
    </row>
    <row r="1735" spans="7:11">
      <c r="G1735">
        <v>34</v>
      </c>
      <c r="H1735">
        <v>32</v>
      </c>
      <c r="I1735" s="2">
        <f>INT(DATE($B$3,1,1) + (34+0.5)*365/50)</f>
        <v>0</v>
      </c>
      <c r="J1735" s="2">
        <f>I1735 - INT(ROUND($B$4 * 30.4375, 0) * (32+0.5)/50)</f>
        <v>0</v>
      </c>
      <c r="K1735" s="4">
        <f>VLOOKUP(J1735, '1_Rate_Changes'!$A$2:$C$100, 3, TRUE)</f>
        <v>0</v>
      </c>
    </row>
    <row r="1736" spans="7:11">
      <c r="G1736">
        <v>34</v>
      </c>
      <c r="H1736">
        <v>33</v>
      </c>
      <c r="I1736" s="2">
        <f>INT(DATE($B$3,1,1) + (34+0.5)*365/50)</f>
        <v>0</v>
      </c>
      <c r="J1736" s="2">
        <f>I1736 - INT(ROUND($B$4 * 30.4375, 0) * (33+0.5)/50)</f>
        <v>0</v>
      </c>
      <c r="K1736" s="4">
        <f>VLOOKUP(J1736, '1_Rate_Changes'!$A$2:$C$100, 3, TRUE)</f>
        <v>0</v>
      </c>
    </row>
    <row r="1737" spans="7:11">
      <c r="G1737">
        <v>34</v>
      </c>
      <c r="H1737">
        <v>34</v>
      </c>
      <c r="I1737" s="2">
        <f>INT(DATE($B$3,1,1) + (34+0.5)*365/50)</f>
        <v>0</v>
      </c>
      <c r="J1737" s="2">
        <f>I1737 - INT(ROUND($B$4 * 30.4375, 0) * (34+0.5)/50)</f>
        <v>0</v>
      </c>
      <c r="K1737" s="4">
        <f>VLOOKUP(J1737, '1_Rate_Changes'!$A$2:$C$100, 3, TRUE)</f>
        <v>0</v>
      </c>
    </row>
    <row r="1738" spans="7:11">
      <c r="G1738">
        <v>34</v>
      </c>
      <c r="H1738">
        <v>35</v>
      </c>
      <c r="I1738" s="2">
        <f>INT(DATE($B$3,1,1) + (34+0.5)*365/50)</f>
        <v>0</v>
      </c>
      <c r="J1738" s="2">
        <f>I1738 - INT(ROUND($B$4 * 30.4375, 0) * (35+0.5)/50)</f>
        <v>0</v>
      </c>
      <c r="K1738" s="4">
        <f>VLOOKUP(J1738, '1_Rate_Changes'!$A$2:$C$100, 3, TRUE)</f>
        <v>0</v>
      </c>
    </row>
    <row r="1739" spans="7:11">
      <c r="G1739">
        <v>34</v>
      </c>
      <c r="H1739">
        <v>36</v>
      </c>
      <c r="I1739" s="2">
        <f>INT(DATE($B$3,1,1) + (34+0.5)*365/50)</f>
        <v>0</v>
      </c>
      <c r="J1739" s="2">
        <f>I1739 - INT(ROUND($B$4 * 30.4375, 0) * (36+0.5)/50)</f>
        <v>0</v>
      </c>
      <c r="K1739" s="4">
        <f>VLOOKUP(J1739, '1_Rate_Changes'!$A$2:$C$100, 3, TRUE)</f>
        <v>0</v>
      </c>
    </row>
    <row r="1740" spans="7:11">
      <c r="G1740">
        <v>34</v>
      </c>
      <c r="H1740">
        <v>37</v>
      </c>
      <c r="I1740" s="2">
        <f>INT(DATE($B$3,1,1) + (34+0.5)*365/50)</f>
        <v>0</v>
      </c>
      <c r="J1740" s="2">
        <f>I1740 - INT(ROUND($B$4 * 30.4375, 0) * (37+0.5)/50)</f>
        <v>0</v>
      </c>
      <c r="K1740" s="4">
        <f>VLOOKUP(J1740, '1_Rate_Changes'!$A$2:$C$100, 3, TRUE)</f>
        <v>0</v>
      </c>
    </row>
    <row r="1741" spans="7:11">
      <c r="G1741">
        <v>34</v>
      </c>
      <c r="H1741">
        <v>38</v>
      </c>
      <c r="I1741" s="2">
        <f>INT(DATE($B$3,1,1) + (34+0.5)*365/50)</f>
        <v>0</v>
      </c>
      <c r="J1741" s="2">
        <f>I1741 - INT(ROUND($B$4 * 30.4375, 0) * (38+0.5)/50)</f>
        <v>0</v>
      </c>
      <c r="K1741" s="4">
        <f>VLOOKUP(J1741, '1_Rate_Changes'!$A$2:$C$100, 3, TRUE)</f>
        <v>0</v>
      </c>
    </row>
    <row r="1742" spans="7:11">
      <c r="G1742">
        <v>34</v>
      </c>
      <c r="H1742">
        <v>39</v>
      </c>
      <c r="I1742" s="2">
        <f>INT(DATE($B$3,1,1) + (34+0.5)*365/50)</f>
        <v>0</v>
      </c>
      <c r="J1742" s="2">
        <f>I1742 - INT(ROUND($B$4 * 30.4375, 0) * (39+0.5)/50)</f>
        <v>0</v>
      </c>
      <c r="K1742" s="4">
        <f>VLOOKUP(J1742, '1_Rate_Changes'!$A$2:$C$100, 3, TRUE)</f>
        <v>0</v>
      </c>
    </row>
    <row r="1743" spans="7:11">
      <c r="G1743">
        <v>34</v>
      </c>
      <c r="H1743">
        <v>40</v>
      </c>
      <c r="I1743" s="2">
        <f>INT(DATE($B$3,1,1) + (34+0.5)*365/50)</f>
        <v>0</v>
      </c>
      <c r="J1743" s="2">
        <f>I1743 - INT(ROUND($B$4 * 30.4375, 0) * (40+0.5)/50)</f>
        <v>0</v>
      </c>
      <c r="K1743" s="4">
        <f>VLOOKUP(J1743, '1_Rate_Changes'!$A$2:$C$100, 3, TRUE)</f>
        <v>0</v>
      </c>
    </row>
    <row r="1744" spans="7:11">
      <c r="G1744">
        <v>34</v>
      </c>
      <c r="H1744">
        <v>41</v>
      </c>
      <c r="I1744" s="2">
        <f>INT(DATE($B$3,1,1) + (34+0.5)*365/50)</f>
        <v>0</v>
      </c>
      <c r="J1744" s="2">
        <f>I1744 - INT(ROUND($B$4 * 30.4375, 0) * (41+0.5)/50)</f>
        <v>0</v>
      </c>
      <c r="K1744" s="4">
        <f>VLOOKUP(J1744, '1_Rate_Changes'!$A$2:$C$100, 3, TRUE)</f>
        <v>0</v>
      </c>
    </row>
    <row r="1745" spans="7:11">
      <c r="G1745">
        <v>34</v>
      </c>
      <c r="H1745">
        <v>42</v>
      </c>
      <c r="I1745" s="2">
        <f>INT(DATE($B$3,1,1) + (34+0.5)*365/50)</f>
        <v>0</v>
      </c>
      <c r="J1745" s="2">
        <f>I1745 - INT(ROUND($B$4 * 30.4375, 0) * (42+0.5)/50)</f>
        <v>0</v>
      </c>
      <c r="K1745" s="4">
        <f>VLOOKUP(J1745, '1_Rate_Changes'!$A$2:$C$100, 3, TRUE)</f>
        <v>0</v>
      </c>
    </row>
    <row r="1746" spans="7:11">
      <c r="G1746">
        <v>34</v>
      </c>
      <c r="H1746">
        <v>43</v>
      </c>
      <c r="I1746" s="2">
        <f>INT(DATE($B$3,1,1) + (34+0.5)*365/50)</f>
        <v>0</v>
      </c>
      <c r="J1746" s="2">
        <f>I1746 - INT(ROUND($B$4 * 30.4375, 0) * (43+0.5)/50)</f>
        <v>0</v>
      </c>
      <c r="K1746" s="4">
        <f>VLOOKUP(J1746, '1_Rate_Changes'!$A$2:$C$100, 3, TRUE)</f>
        <v>0</v>
      </c>
    </row>
    <row r="1747" spans="7:11">
      <c r="G1747">
        <v>34</v>
      </c>
      <c r="H1747">
        <v>44</v>
      </c>
      <c r="I1747" s="2">
        <f>INT(DATE($B$3,1,1) + (34+0.5)*365/50)</f>
        <v>0</v>
      </c>
      <c r="J1747" s="2">
        <f>I1747 - INT(ROUND($B$4 * 30.4375, 0) * (44+0.5)/50)</f>
        <v>0</v>
      </c>
      <c r="K1747" s="4">
        <f>VLOOKUP(J1747, '1_Rate_Changes'!$A$2:$C$100, 3, TRUE)</f>
        <v>0</v>
      </c>
    </row>
    <row r="1748" spans="7:11">
      <c r="G1748">
        <v>34</v>
      </c>
      <c r="H1748">
        <v>45</v>
      </c>
      <c r="I1748" s="2">
        <f>INT(DATE($B$3,1,1) + (34+0.5)*365/50)</f>
        <v>0</v>
      </c>
      <c r="J1748" s="2">
        <f>I1748 - INT(ROUND($B$4 * 30.4375, 0) * (45+0.5)/50)</f>
        <v>0</v>
      </c>
      <c r="K1748" s="4">
        <f>VLOOKUP(J1748, '1_Rate_Changes'!$A$2:$C$100, 3, TRUE)</f>
        <v>0</v>
      </c>
    </row>
    <row r="1749" spans="7:11">
      <c r="G1749">
        <v>34</v>
      </c>
      <c r="H1749">
        <v>46</v>
      </c>
      <c r="I1749" s="2">
        <f>INT(DATE($B$3,1,1) + (34+0.5)*365/50)</f>
        <v>0</v>
      </c>
      <c r="J1749" s="2">
        <f>I1749 - INT(ROUND($B$4 * 30.4375, 0) * (46+0.5)/50)</f>
        <v>0</v>
      </c>
      <c r="K1749" s="4">
        <f>VLOOKUP(J1749, '1_Rate_Changes'!$A$2:$C$100, 3, TRUE)</f>
        <v>0</v>
      </c>
    </row>
    <row r="1750" spans="7:11">
      <c r="G1750">
        <v>34</v>
      </c>
      <c r="H1750">
        <v>47</v>
      </c>
      <c r="I1750" s="2">
        <f>INT(DATE($B$3,1,1) + (34+0.5)*365/50)</f>
        <v>0</v>
      </c>
      <c r="J1750" s="2">
        <f>I1750 - INT(ROUND($B$4 * 30.4375, 0) * (47+0.5)/50)</f>
        <v>0</v>
      </c>
      <c r="K1750" s="4">
        <f>VLOOKUP(J1750, '1_Rate_Changes'!$A$2:$C$100, 3, TRUE)</f>
        <v>0</v>
      </c>
    </row>
    <row r="1751" spans="7:11">
      <c r="G1751">
        <v>34</v>
      </c>
      <c r="H1751">
        <v>48</v>
      </c>
      <c r="I1751" s="2">
        <f>INT(DATE($B$3,1,1) + (34+0.5)*365/50)</f>
        <v>0</v>
      </c>
      <c r="J1751" s="2">
        <f>I1751 - INT(ROUND($B$4 * 30.4375, 0) * (48+0.5)/50)</f>
        <v>0</v>
      </c>
      <c r="K1751" s="4">
        <f>VLOOKUP(J1751, '1_Rate_Changes'!$A$2:$C$100, 3, TRUE)</f>
        <v>0</v>
      </c>
    </row>
    <row r="1752" spans="7:11">
      <c r="G1752">
        <v>34</v>
      </c>
      <c r="H1752">
        <v>49</v>
      </c>
      <c r="I1752" s="2">
        <f>INT(DATE($B$3,1,1) + (34+0.5)*365/50)</f>
        <v>0</v>
      </c>
      <c r="J1752" s="2">
        <f>I1752 - INT(ROUND($B$4 * 30.4375, 0) * (49+0.5)/50)</f>
        <v>0</v>
      </c>
      <c r="K1752" s="4">
        <f>VLOOKUP(J1752, '1_Rate_Changes'!$A$2:$C$100, 3, TRUE)</f>
        <v>0</v>
      </c>
    </row>
    <row r="1753" spans="7:11">
      <c r="G1753">
        <v>35</v>
      </c>
      <c r="H1753">
        <v>0</v>
      </c>
      <c r="I1753" s="2">
        <f>INT(DATE($B$3,1,1) + (35+0.5)*365/50)</f>
        <v>0</v>
      </c>
      <c r="J1753" s="2">
        <f>I1753 - INT(ROUND($B$4 * 30.4375, 0) * (0+0.5)/50)</f>
        <v>0</v>
      </c>
      <c r="K1753" s="4">
        <f>VLOOKUP(J1753, '1_Rate_Changes'!$A$2:$C$100, 3, TRUE)</f>
        <v>0</v>
      </c>
    </row>
    <row r="1754" spans="7:11">
      <c r="G1754">
        <v>35</v>
      </c>
      <c r="H1754">
        <v>1</v>
      </c>
      <c r="I1754" s="2">
        <f>INT(DATE($B$3,1,1) + (35+0.5)*365/50)</f>
        <v>0</v>
      </c>
      <c r="J1754" s="2">
        <f>I1754 - INT(ROUND($B$4 * 30.4375, 0) * (1+0.5)/50)</f>
        <v>0</v>
      </c>
      <c r="K1754" s="4">
        <f>VLOOKUP(J1754, '1_Rate_Changes'!$A$2:$C$100, 3, TRUE)</f>
        <v>0</v>
      </c>
    </row>
    <row r="1755" spans="7:11">
      <c r="G1755">
        <v>35</v>
      </c>
      <c r="H1755">
        <v>2</v>
      </c>
      <c r="I1755" s="2">
        <f>INT(DATE($B$3,1,1) + (35+0.5)*365/50)</f>
        <v>0</v>
      </c>
      <c r="J1755" s="2">
        <f>I1755 - INT(ROUND($B$4 * 30.4375, 0) * (2+0.5)/50)</f>
        <v>0</v>
      </c>
      <c r="K1755" s="4">
        <f>VLOOKUP(J1755, '1_Rate_Changes'!$A$2:$C$100, 3, TRUE)</f>
        <v>0</v>
      </c>
    </row>
    <row r="1756" spans="7:11">
      <c r="G1756">
        <v>35</v>
      </c>
      <c r="H1756">
        <v>3</v>
      </c>
      <c r="I1756" s="2">
        <f>INT(DATE($B$3,1,1) + (35+0.5)*365/50)</f>
        <v>0</v>
      </c>
      <c r="J1756" s="2">
        <f>I1756 - INT(ROUND($B$4 * 30.4375, 0) * (3+0.5)/50)</f>
        <v>0</v>
      </c>
      <c r="K1756" s="4">
        <f>VLOOKUP(J1756, '1_Rate_Changes'!$A$2:$C$100, 3, TRUE)</f>
        <v>0</v>
      </c>
    </row>
    <row r="1757" spans="7:11">
      <c r="G1757">
        <v>35</v>
      </c>
      <c r="H1757">
        <v>4</v>
      </c>
      <c r="I1757" s="2">
        <f>INT(DATE($B$3,1,1) + (35+0.5)*365/50)</f>
        <v>0</v>
      </c>
      <c r="J1757" s="2">
        <f>I1757 - INT(ROUND($B$4 * 30.4375, 0) * (4+0.5)/50)</f>
        <v>0</v>
      </c>
      <c r="K1757" s="4">
        <f>VLOOKUP(J1757, '1_Rate_Changes'!$A$2:$C$100, 3, TRUE)</f>
        <v>0</v>
      </c>
    </row>
    <row r="1758" spans="7:11">
      <c r="G1758">
        <v>35</v>
      </c>
      <c r="H1758">
        <v>5</v>
      </c>
      <c r="I1758" s="2">
        <f>INT(DATE($B$3,1,1) + (35+0.5)*365/50)</f>
        <v>0</v>
      </c>
      <c r="J1758" s="2">
        <f>I1758 - INT(ROUND($B$4 * 30.4375, 0) * (5+0.5)/50)</f>
        <v>0</v>
      </c>
      <c r="K1758" s="4">
        <f>VLOOKUP(J1758, '1_Rate_Changes'!$A$2:$C$100, 3, TRUE)</f>
        <v>0</v>
      </c>
    </row>
    <row r="1759" spans="7:11">
      <c r="G1759">
        <v>35</v>
      </c>
      <c r="H1759">
        <v>6</v>
      </c>
      <c r="I1759" s="2">
        <f>INT(DATE($B$3,1,1) + (35+0.5)*365/50)</f>
        <v>0</v>
      </c>
      <c r="J1759" s="2">
        <f>I1759 - INT(ROUND($B$4 * 30.4375, 0) * (6+0.5)/50)</f>
        <v>0</v>
      </c>
      <c r="K1759" s="4">
        <f>VLOOKUP(J1759, '1_Rate_Changes'!$A$2:$C$100, 3, TRUE)</f>
        <v>0</v>
      </c>
    </row>
    <row r="1760" spans="7:11">
      <c r="G1760">
        <v>35</v>
      </c>
      <c r="H1760">
        <v>7</v>
      </c>
      <c r="I1760" s="2">
        <f>INT(DATE($B$3,1,1) + (35+0.5)*365/50)</f>
        <v>0</v>
      </c>
      <c r="J1760" s="2">
        <f>I1760 - INT(ROUND($B$4 * 30.4375, 0) * (7+0.5)/50)</f>
        <v>0</v>
      </c>
      <c r="K1760" s="4">
        <f>VLOOKUP(J1760, '1_Rate_Changes'!$A$2:$C$100, 3, TRUE)</f>
        <v>0</v>
      </c>
    </row>
    <row r="1761" spans="7:11">
      <c r="G1761">
        <v>35</v>
      </c>
      <c r="H1761">
        <v>8</v>
      </c>
      <c r="I1761" s="2">
        <f>INT(DATE($B$3,1,1) + (35+0.5)*365/50)</f>
        <v>0</v>
      </c>
      <c r="J1761" s="2">
        <f>I1761 - INT(ROUND($B$4 * 30.4375, 0) * (8+0.5)/50)</f>
        <v>0</v>
      </c>
      <c r="K1761" s="4">
        <f>VLOOKUP(J1761, '1_Rate_Changes'!$A$2:$C$100, 3, TRUE)</f>
        <v>0</v>
      </c>
    </row>
    <row r="1762" spans="7:11">
      <c r="G1762">
        <v>35</v>
      </c>
      <c r="H1762">
        <v>9</v>
      </c>
      <c r="I1762" s="2">
        <f>INT(DATE($B$3,1,1) + (35+0.5)*365/50)</f>
        <v>0</v>
      </c>
      <c r="J1762" s="2">
        <f>I1762 - INT(ROUND($B$4 * 30.4375, 0) * (9+0.5)/50)</f>
        <v>0</v>
      </c>
      <c r="K1762" s="4">
        <f>VLOOKUP(J1762, '1_Rate_Changes'!$A$2:$C$100, 3, TRUE)</f>
        <v>0</v>
      </c>
    </row>
    <row r="1763" spans="7:11">
      <c r="G1763">
        <v>35</v>
      </c>
      <c r="H1763">
        <v>10</v>
      </c>
      <c r="I1763" s="2">
        <f>INT(DATE($B$3,1,1) + (35+0.5)*365/50)</f>
        <v>0</v>
      </c>
      <c r="J1763" s="2">
        <f>I1763 - INT(ROUND($B$4 * 30.4375, 0) * (10+0.5)/50)</f>
        <v>0</v>
      </c>
      <c r="K1763" s="4">
        <f>VLOOKUP(J1763, '1_Rate_Changes'!$A$2:$C$100, 3, TRUE)</f>
        <v>0</v>
      </c>
    </row>
    <row r="1764" spans="7:11">
      <c r="G1764">
        <v>35</v>
      </c>
      <c r="H1764">
        <v>11</v>
      </c>
      <c r="I1764" s="2">
        <f>INT(DATE($B$3,1,1) + (35+0.5)*365/50)</f>
        <v>0</v>
      </c>
      <c r="J1764" s="2">
        <f>I1764 - INT(ROUND($B$4 * 30.4375, 0) * (11+0.5)/50)</f>
        <v>0</v>
      </c>
      <c r="K1764" s="4">
        <f>VLOOKUP(J1764, '1_Rate_Changes'!$A$2:$C$100, 3, TRUE)</f>
        <v>0</v>
      </c>
    </row>
    <row r="1765" spans="7:11">
      <c r="G1765">
        <v>35</v>
      </c>
      <c r="H1765">
        <v>12</v>
      </c>
      <c r="I1765" s="2">
        <f>INT(DATE($B$3,1,1) + (35+0.5)*365/50)</f>
        <v>0</v>
      </c>
      <c r="J1765" s="2">
        <f>I1765 - INT(ROUND($B$4 * 30.4375, 0) * (12+0.5)/50)</f>
        <v>0</v>
      </c>
      <c r="K1765" s="4">
        <f>VLOOKUP(J1765, '1_Rate_Changes'!$A$2:$C$100, 3, TRUE)</f>
        <v>0</v>
      </c>
    </row>
    <row r="1766" spans="7:11">
      <c r="G1766">
        <v>35</v>
      </c>
      <c r="H1766">
        <v>13</v>
      </c>
      <c r="I1766" s="2">
        <f>INT(DATE($B$3,1,1) + (35+0.5)*365/50)</f>
        <v>0</v>
      </c>
      <c r="J1766" s="2">
        <f>I1766 - INT(ROUND($B$4 * 30.4375, 0) * (13+0.5)/50)</f>
        <v>0</v>
      </c>
      <c r="K1766" s="4">
        <f>VLOOKUP(J1766, '1_Rate_Changes'!$A$2:$C$100, 3, TRUE)</f>
        <v>0</v>
      </c>
    </row>
    <row r="1767" spans="7:11">
      <c r="G1767">
        <v>35</v>
      </c>
      <c r="H1767">
        <v>14</v>
      </c>
      <c r="I1767" s="2">
        <f>INT(DATE($B$3,1,1) + (35+0.5)*365/50)</f>
        <v>0</v>
      </c>
      <c r="J1767" s="2">
        <f>I1767 - INT(ROUND($B$4 * 30.4375, 0) * (14+0.5)/50)</f>
        <v>0</v>
      </c>
      <c r="K1767" s="4">
        <f>VLOOKUP(J1767, '1_Rate_Changes'!$A$2:$C$100, 3, TRUE)</f>
        <v>0</v>
      </c>
    </row>
    <row r="1768" spans="7:11">
      <c r="G1768">
        <v>35</v>
      </c>
      <c r="H1768">
        <v>15</v>
      </c>
      <c r="I1768" s="2">
        <f>INT(DATE($B$3,1,1) + (35+0.5)*365/50)</f>
        <v>0</v>
      </c>
      <c r="J1768" s="2">
        <f>I1768 - INT(ROUND($B$4 * 30.4375, 0) * (15+0.5)/50)</f>
        <v>0</v>
      </c>
      <c r="K1768" s="4">
        <f>VLOOKUP(J1768, '1_Rate_Changes'!$A$2:$C$100, 3, TRUE)</f>
        <v>0</v>
      </c>
    </row>
    <row r="1769" spans="7:11">
      <c r="G1769">
        <v>35</v>
      </c>
      <c r="H1769">
        <v>16</v>
      </c>
      <c r="I1769" s="2">
        <f>INT(DATE($B$3,1,1) + (35+0.5)*365/50)</f>
        <v>0</v>
      </c>
      <c r="J1769" s="2">
        <f>I1769 - INT(ROUND($B$4 * 30.4375, 0) * (16+0.5)/50)</f>
        <v>0</v>
      </c>
      <c r="K1769" s="4">
        <f>VLOOKUP(J1769, '1_Rate_Changes'!$A$2:$C$100, 3, TRUE)</f>
        <v>0</v>
      </c>
    </row>
    <row r="1770" spans="7:11">
      <c r="G1770">
        <v>35</v>
      </c>
      <c r="H1770">
        <v>17</v>
      </c>
      <c r="I1770" s="2">
        <f>INT(DATE($B$3,1,1) + (35+0.5)*365/50)</f>
        <v>0</v>
      </c>
      <c r="J1770" s="2">
        <f>I1770 - INT(ROUND($B$4 * 30.4375, 0) * (17+0.5)/50)</f>
        <v>0</v>
      </c>
      <c r="K1770" s="4">
        <f>VLOOKUP(J1770, '1_Rate_Changes'!$A$2:$C$100, 3, TRUE)</f>
        <v>0</v>
      </c>
    </row>
    <row r="1771" spans="7:11">
      <c r="G1771">
        <v>35</v>
      </c>
      <c r="H1771">
        <v>18</v>
      </c>
      <c r="I1771" s="2">
        <f>INT(DATE($B$3,1,1) + (35+0.5)*365/50)</f>
        <v>0</v>
      </c>
      <c r="J1771" s="2">
        <f>I1771 - INT(ROUND($B$4 * 30.4375, 0) * (18+0.5)/50)</f>
        <v>0</v>
      </c>
      <c r="K1771" s="4">
        <f>VLOOKUP(J1771, '1_Rate_Changes'!$A$2:$C$100, 3, TRUE)</f>
        <v>0</v>
      </c>
    </row>
    <row r="1772" spans="7:11">
      <c r="G1772">
        <v>35</v>
      </c>
      <c r="H1772">
        <v>19</v>
      </c>
      <c r="I1772" s="2">
        <f>INT(DATE($B$3,1,1) + (35+0.5)*365/50)</f>
        <v>0</v>
      </c>
      <c r="J1772" s="2">
        <f>I1772 - INT(ROUND($B$4 * 30.4375, 0) * (19+0.5)/50)</f>
        <v>0</v>
      </c>
      <c r="K1772" s="4">
        <f>VLOOKUP(J1772, '1_Rate_Changes'!$A$2:$C$100, 3, TRUE)</f>
        <v>0</v>
      </c>
    </row>
    <row r="1773" spans="7:11">
      <c r="G1773">
        <v>35</v>
      </c>
      <c r="H1773">
        <v>20</v>
      </c>
      <c r="I1773" s="2">
        <f>INT(DATE($B$3,1,1) + (35+0.5)*365/50)</f>
        <v>0</v>
      </c>
      <c r="J1773" s="2">
        <f>I1773 - INT(ROUND($B$4 * 30.4375, 0) * (20+0.5)/50)</f>
        <v>0</v>
      </c>
      <c r="K1773" s="4">
        <f>VLOOKUP(J1773, '1_Rate_Changes'!$A$2:$C$100, 3, TRUE)</f>
        <v>0</v>
      </c>
    </row>
    <row r="1774" spans="7:11">
      <c r="G1774">
        <v>35</v>
      </c>
      <c r="H1774">
        <v>21</v>
      </c>
      <c r="I1774" s="2">
        <f>INT(DATE($B$3,1,1) + (35+0.5)*365/50)</f>
        <v>0</v>
      </c>
      <c r="J1774" s="2">
        <f>I1774 - INT(ROUND($B$4 * 30.4375, 0) * (21+0.5)/50)</f>
        <v>0</v>
      </c>
      <c r="K1774" s="4">
        <f>VLOOKUP(J1774, '1_Rate_Changes'!$A$2:$C$100, 3, TRUE)</f>
        <v>0</v>
      </c>
    </row>
    <row r="1775" spans="7:11">
      <c r="G1775">
        <v>35</v>
      </c>
      <c r="H1775">
        <v>22</v>
      </c>
      <c r="I1775" s="2">
        <f>INT(DATE($B$3,1,1) + (35+0.5)*365/50)</f>
        <v>0</v>
      </c>
      <c r="J1775" s="2">
        <f>I1775 - INT(ROUND($B$4 * 30.4375, 0) * (22+0.5)/50)</f>
        <v>0</v>
      </c>
      <c r="K1775" s="4">
        <f>VLOOKUP(J1775, '1_Rate_Changes'!$A$2:$C$100, 3, TRUE)</f>
        <v>0</v>
      </c>
    </row>
    <row r="1776" spans="7:11">
      <c r="G1776">
        <v>35</v>
      </c>
      <c r="H1776">
        <v>23</v>
      </c>
      <c r="I1776" s="2">
        <f>INT(DATE($B$3,1,1) + (35+0.5)*365/50)</f>
        <v>0</v>
      </c>
      <c r="J1776" s="2">
        <f>I1776 - INT(ROUND($B$4 * 30.4375, 0) * (23+0.5)/50)</f>
        <v>0</v>
      </c>
      <c r="K1776" s="4">
        <f>VLOOKUP(J1776, '1_Rate_Changes'!$A$2:$C$100, 3, TRUE)</f>
        <v>0</v>
      </c>
    </row>
    <row r="1777" spans="7:11">
      <c r="G1777">
        <v>35</v>
      </c>
      <c r="H1777">
        <v>24</v>
      </c>
      <c r="I1777" s="2">
        <f>INT(DATE($B$3,1,1) + (35+0.5)*365/50)</f>
        <v>0</v>
      </c>
      <c r="J1777" s="2">
        <f>I1777 - INT(ROUND($B$4 * 30.4375, 0) * (24+0.5)/50)</f>
        <v>0</v>
      </c>
      <c r="K1777" s="4">
        <f>VLOOKUP(J1777, '1_Rate_Changes'!$A$2:$C$100, 3, TRUE)</f>
        <v>0</v>
      </c>
    </row>
    <row r="1778" spans="7:11">
      <c r="G1778">
        <v>35</v>
      </c>
      <c r="H1778">
        <v>25</v>
      </c>
      <c r="I1778" s="2">
        <f>INT(DATE($B$3,1,1) + (35+0.5)*365/50)</f>
        <v>0</v>
      </c>
      <c r="J1778" s="2">
        <f>I1778 - INT(ROUND($B$4 * 30.4375, 0) * (25+0.5)/50)</f>
        <v>0</v>
      </c>
      <c r="K1778" s="4">
        <f>VLOOKUP(J1778, '1_Rate_Changes'!$A$2:$C$100, 3, TRUE)</f>
        <v>0</v>
      </c>
    </row>
    <row r="1779" spans="7:11">
      <c r="G1779">
        <v>35</v>
      </c>
      <c r="H1779">
        <v>26</v>
      </c>
      <c r="I1779" s="2">
        <f>INT(DATE($B$3,1,1) + (35+0.5)*365/50)</f>
        <v>0</v>
      </c>
      <c r="J1779" s="2">
        <f>I1779 - INT(ROUND($B$4 * 30.4375, 0) * (26+0.5)/50)</f>
        <v>0</v>
      </c>
      <c r="K1779" s="4">
        <f>VLOOKUP(J1779, '1_Rate_Changes'!$A$2:$C$100, 3, TRUE)</f>
        <v>0</v>
      </c>
    </row>
    <row r="1780" spans="7:11">
      <c r="G1780">
        <v>35</v>
      </c>
      <c r="H1780">
        <v>27</v>
      </c>
      <c r="I1780" s="2">
        <f>INT(DATE($B$3,1,1) + (35+0.5)*365/50)</f>
        <v>0</v>
      </c>
      <c r="J1780" s="2">
        <f>I1780 - INT(ROUND($B$4 * 30.4375, 0) * (27+0.5)/50)</f>
        <v>0</v>
      </c>
      <c r="K1780" s="4">
        <f>VLOOKUP(J1780, '1_Rate_Changes'!$A$2:$C$100, 3, TRUE)</f>
        <v>0</v>
      </c>
    </row>
    <row r="1781" spans="7:11">
      <c r="G1781">
        <v>35</v>
      </c>
      <c r="H1781">
        <v>28</v>
      </c>
      <c r="I1781" s="2">
        <f>INT(DATE($B$3,1,1) + (35+0.5)*365/50)</f>
        <v>0</v>
      </c>
      <c r="J1781" s="2">
        <f>I1781 - INT(ROUND($B$4 * 30.4375, 0) * (28+0.5)/50)</f>
        <v>0</v>
      </c>
      <c r="K1781" s="4">
        <f>VLOOKUP(J1781, '1_Rate_Changes'!$A$2:$C$100, 3, TRUE)</f>
        <v>0</v>
      </c>
    </row>
    <row r="1782" spans="7:11">
      <c r="G1782">
        <v>35</v>
      </c>
      <c r="H1782">
        <v>29</v>
      </c>
      <c r="I1782" s="2">
        <f>INT(DATE($B$3,1,1) + (35+0.5)*365/50)</f>
        <v>0</v>
      </c>
      <c r="J1782" s="2">
        <f>I1782 - INT(ROUND($B$4 * 30.4375, 0) * (29+0.5)/50)</f>
        <v>0</v>
      </c>
      <c r="K1782" s="4">
        <f>VLOOKUP(J1782, '1_Rate_Changes'!$A$2:$C$100, 3, TRUE)</f>
        <v>0</v>
      </c>
    </row>
    <row r="1783" spans="7:11">
      <c r="G1783">
        <v>35</v>
      </c>
      <c r="H1783">
        <v>30</v>
      </c>
      <c r="I1783" s="2">
        <f>INT(DATE($B$3,1,1) + (35+0.5)*365/50)</f>
        <v>0</v>
      </c>
      <c r="J1783" s="2">
        <f>I1783 - INT(ROUND($B$4 * 30.4375, 0) * (30+0.5)/50)</f>
        <v>0</v>
      </c>
      <c r="K1783" s="4">
        <f>VLOOKUP(J1783, '1_Rate_Changes'!$A$2:$C$100, 3, TRUE)</f>
        <v>0</v>
      </c>
    </row>
    <row r="1784" spans="7:11">
      <c r="G1784">
        <v>35</v>
      </c>
      <c r="H1784">
        <v>31</v>
      </c>
      <c r="I1784" s="2">
        <f>INT(DATE($B$3,1,1) + (35+0.5)*365/50)</f>
        <v>0</v>
      </c>
      <c r="J1784" s="2">
        <f>I1784 - INT(ROUND($B$4 * 30.4375, 0) * (31+0.5)/50)</f>
        <v>0</v>
      </c>
      <c r="K1784" s="4">
        <f>VLOOKUP(J1784, '1_Rate_Changes'!$A$2:$C$100, 3, TRUE)</f>
        <v>0</v>
      </c>
    </row>
    <row r="1785" spans="7:11">
      <c r="G1785">
        <v>35</v>
      </c>
      <c r="H1785">
        <v>32</v>
      </c>
      <c r="I1785" s="2">
        <f>INT(DATE($B$3,1,1) + (35+0.5)*365/50)</f>
        <v>0</v>
      </c>
      <c r="J1785" s="2">
        <f>I1785 - INT(ROUND($B$4 * 30.4375, 0) * (32+0.5)/50)</f>
        <v>0</v>
      </c>
      <c r="K1785" s="4">
        <f>VLOOKUP(J1785, '1_Rate_Changes'!$A$2:$C$100, 3, TRUE)</f>
        <v>0</v>
      </c>
    </row>
    <row r="1786" spans="7:11">
      <c r="G1786">
        <v>35</v>
      </c>
      <c r="H1786">
        <v>33</v>
      </c>
      <c r="I1786" s="2">
        <f>INT(DATE($B$3,1,1) + (35+0.5)*365/50)</f>
        <v>0</v>
      </c>
      <c r="J1786" s="2">
        <f>I1786 - INT(ROUND($B$4 * 30.4375, 0) * (33+0.5)/50)</f>
        <v>0</v>
      </c>
      <c r="K1786" s="4">
        <f>VLOOKUP(J1786, '1_Rate_Changes'!$A$2:$C$100, 3, TRUE)</f>
        <v>0</v>
      </c>
    </row>
    <row r="1787" spans="7:11">
      <c r="G1787">
        <v>35</v>
      </c>
      <c r="H1787">
        <v>34</v>
      </c>
      <c r="I1787" s="2">
        <f>INT(DATE($B$3,1,1) + (35+0.5)*365/50)</f>
        <v>0</v>
      </c>
      <c r="J1787" s="2">
        <f>I1787 - INT(ROUND($B$4 * 30.4375, 0) * (34+0.5)/50)</f>
        <v>0</v>
      </c>
      <c r="K1787" s="4">
        <f>VLOOKUP(J1787, '1_Rate_Changes'!$A$2:$C$100, 3, TRUE)</f>
        <v>0</v>
      </c>
    </row>
    <row r="1788" spans="7:11">
      <c r="G1788">
        <v>35</v>
      </c>
      <c r="H1788">
        <v>35</v>
      </c>
      <c r="I1788" s="2">
        <f>INT(DATE($B$3,1,1) + (35+0.5)*365/50)</f>
        <v>0</v>
      </c>
      <c r="J1788" s="2">
        <f>I1788 - INT(ROUND($B$4 * 30.4375, 0) * (35+0.5)/50)</f>
        <v>0</v>
      </c>
      <c r="K1788" s="4">
        <f>VLOOKUP(J1788, '1_Rate_Changes'!$A$2:$C$100, 3, TRUE)</f>
        <v>0</v>
      </c>
    </row>
    <row r="1789" spans="7:11">
      <c r="G1789">
        <v>35</v>
      </c>
      <c r="H1789">
        <v>36</v>
      </c>
      <c r="I1789" s="2">
        <f>INT(DATE($B$3,1,1) + (35+0.5)*365/50)</f>
        <v>0</v>
      </c>
      <c r="J1789" s="2">
        <f>I1789 - INT(ROUND($B$4 * 30.4375, 0) * (36+0.5)/50)</f>
        <v>0</v>
      </c>
      <c r="K1789" s="4">
        <f>VLOOKUP(J1789, '1_Rate_Changes'!$A$2:$C$100, 3, TRUE)</f>
        <v>0</v>
      </c>
    </row>
    <row r="1790" spans="7:11">
      <c r="G1790">
        <v>35</v>
      </c>
      <c r="H1790">
        <v>37</v>
      </c>
      <c r="I1790" s="2">
        <f>INT(DATE($B$3,1,1) + (35+0.5)*365/50)</f>
        <v>0</v>
      </c>
      <c r="J1790" s="2">
        <f>I1790 - INT(ROUND($B$4 * 30.4375, 0) * (37+0.5)/50)</f>
        <v>0</v>
      </c>
      <c r="K1790" s="4">
        <f>VLOOKUP(J1790, '1_Rate_Changes'!$A$2:$C$100, 3, TRUE)</f>
        <v>0</v>
      </c>
    </row>
    <row r="1791" spans="7:11">
      <c r="G1791">
        <v>35</v>
      </c>
      <c r="H1791">
        <v>38</v>
      </c>
      <c r="I1791" s="2">
        <f>INT(DATE($B$3,1,1) + (35+0.5)*365/50)</f>
        <v>0</v>
      </c>
      <c r="J1791" s="2">
        <f>I1791 - INT(ROUND($B$4 * 30.4375, 0) * (38+0.5)/50)</f>
        <v>0</v>
      </c>
      <c r="K1791" s="4">
        <f>VLOOKUP(J1791, '1_Rate_Changes'!$A$2:$C$100, 3, TRUE)</f>
        <v>0</v>
      </c>
    </row>
    <row r="1792" spans="7:11">
      <c r="G1792">
        <v>35</v>
      </c>
      <c r="H1792">
        <v>39</v>
      </c>
      <c r="I1792" s="2">
        <f>INT(DATE($B$3,1,1) + (35+0.5)*365/50)</f>
        <v>0</v>
      </c>
      <c r="J1792" s="2">
        <f>I1792 - INT(ROUND($B$4 * 30.4375, 0) * (39+0.5)/50)</f>
        <v>0</v>
      </c>
      <c r="K1792" s="4">
        <f>VLOOKUP(J1792, '1_Rate_Changes'!$A$2:$C$100, 3, TRUE)</f>
        <v>0</v>
      </c>
    </row>
    <row r="1793" spans="7:11">
      <c r="G1793">
        <v>35</v>
      </c>
      <c r="H1793">
        <v>40</v>
      </c>
      <c r="I1793" s="2">
        <f>INT(DATE($B$3,1,1) + (35+0.5)*365/50)</f>
        <v>0</v>
      </c>
      <c r="J1793" s="2">
        <f>I1793 - INT(ROUND($B$4 * 30.4375, 0) * (40+0.5)/50)</f>
        <v>0</v>
      </c>
      <c r="K1793" s="4">
        <f>VLOOKUP(J1793, '1_Rate_Changes'!$A$2:$C$100, 3, TRUE)</f>
        <v>0</v>
      </c>
    </row>
    <row r="1794" spans="7:11">
      <c r="G1794">
        <v>35</v>
      </c>
      <c r="H1794">
        <v>41</v>
      </c>
      <c r="I1794" s="2">
        <f>INT(DATE($B$3,1,1) + (35+0.5)*365/50)</f>
        <v>0</v>
      </c>
      <c r="J1794" s="2">
        <f>I1794 - INT(ROUND($B$4 * 30.4375, 0) * (41+0.5)/50)</f>
        <v>0</v>
      </c>
      <c r="K1794" s="4">
        <f>VLOOKUP(J1794, '1_Rate_Changes'!$A$2:$C$100, 3, TRUE)</f>
        <v>0</v>
      </c>
    </row>
    <row r="1795" spans="7:11">
      <c r="G1795">
        <v>35</v>
      </c>
      <c r="H1795">
        <v>42</v>
      </c>
      <c r="I1795" s="2">
        <f>INT(DATE($B$3,1,1) + (35+0.5)*365/50)</f>
        <v>0</v>
      </c>
      <c r="J1795" s="2">
        <f>I1795 - INT(ROUND($B$4 * 30.4375, 0) * (42+0.5)/50)</f>
        <v>0</v>
      </c>
      <c r="K1795" s="4">
        <f>VLOOKUP(J1795, '1_Rate_Changes'!$A$2:$C$100, 3, TRUE)</f>
        <v>0</v>
      </c>
    </row>
    <row r="1796" spans="7:11">
      <c r="G1796">
        <v>35</v>
      </c>
      <c r="H1796">
        <v>43</v>
      </c>
      <c r="I1796" s="2">
        <f>INT(DATE($B$3,1,1) + (35+0.5)*365/50)</f>
        <v>0</v>
      </c>
      <c r="J1796" s="2">
        <f>I1796 - INT(ROUND($B$4 * 30.4375, 0) * (43+0.5)/50)</f>
        <v>0</v>
      </c>
      <c r="K1796" s="4">
        <f>VLOOKUP(J1796, '1_Rate_Changes'!$A$2:$C$100, 3, TRUE)</f>
        <v>0</v>
      </c>
    </row>
    <row r="1797" spans="7:11">
      <c r="G1797">
        <v>35</v>
      </c>
      <c r="H1797">
        <v>44</v>
      </c>
      <c r="I1797" s="2">
        <f>INT(DATE($B$3,1,1) + (35+0.5)*365/50)</f>
        <v>0</v>
      </c>
      <c r="J1797" s="2">
        <f>I1797 - INT(ROUND($B$4 * 30.4375, 0) * (44+0.5)/50)</f>
        <v>0</v>
      </c>
      <c r="K1797" s="4">
        <f>VLOOKUP(J1797, '1_Rate_Changes'!$A$2:$C$100, 3, TRUE)</f>
        <v>0</v>
      </c>
    </row>
    <row r="1798" spans="7:11">
      <c r="G1798">
        <v>35</v>
      </c>
      <c r="H1798">
        <v>45</v>
      </c>
      <c r="I1798" s="2">
        <f>INT(DATE($B$3,1,1) + (35+0.5)*365/50)</f>
        <v>0</v>
      </c>
      <c r="J1798" s="2">
        <f>I1798 - INT(ROUND($B$4 * 30.4375, 0) * (45+0.5)/50)</f>
        <v>0</v>
      </c>
      <c r="K1798" s="4">
        <f>VLOOKUP(J1798, '1_Rate_Changes'!$A$2:$C$100, 3, TRUE)</f>
        <v>0</v>
      </c>
    </row>
    <row r="1799" spans="7:11">
      <c r="G1799">
        <v>35</v>
      </c>
      <c r="H1799">
        <v>46</v>
      </c>
      <c r="I1799" s="2">
        <f>INT(DATE($B$3,1,1) + (35+0.5)*365/50)</f>
        <v>0</v>
      </c>
      <c r="J1799" s="2">
        <f>I1799 - INT(ROUND($B$4 * 30.4375, 0) * (46+0.5)/50)</f>
        <v>0</v>
      </c>
      <c r="K1799" s="4">
        <f>VLOOKUP(J1799, '1_Rate_Changes'!$A$2:$C$100, 3, TRUE)</f>
        <v>0</v>
      </c>
    </row>
    <row r="1800" spans="7:11">
      <c r="G1800">
        <v>35</v>
      </c>
      <c r="H1800">
        <v>47</v>
      </c>
      <c r="I1800" s="2">
        <f>INT(DATE($B$3,1,1) + (35+0.5)*365/50)</f>
        <v>0</v>
      </c>
      <c r="J1800" s="2">
        <f>I1800 - INT(ROUND($B$4 * 30.4375, 0) * (47+0.5)/50)</f>
        <v>0</v>
      </c>
      <c r="K1800" s="4">
        <f>VLOOKUP(J1800, '1_Rate_Changes'!$A$2:$C$100, 3, TRUE)</f>
        <v>0</v>
      </c>
    </row>
    <row r="1801" spans="7:11">
      <c r="G1801">
        <v>35</v>
      </c>
      <c r="H1801">
        <v>48</v>
      </c>
      <c r="I1801" s="2">
        <f>INT(DATE($B$3,1,1) + (35+0.5)*365/50)</f>
        <v>0</v>
      </c>
      <c r="J1801" s="2">
        <f>I1801 - INT(ROUND($B$4 * 30.4375, 0) * (48+0.5)/50)</f>
        <v>0</v>
      </c>
      <c r="K1801" s="4">
        <f>VLOOKUP(J1801, '1_Rate_Changes'!$A$2:$C$100, 3, TRUE)</f>
        <v>0</v>
      </c>
    </row>
    <row r="1802" spans="7:11">
      <c r="G1802">
        <v>35</v>
      </c>
      <c r="H1802">
        <v>49</v>
      </c>
      <c r="I1802" s="2">
        <f>INT(DATE($B$3,1,1) + (35+0.5)*365/50)</f>
        <v>0</v>
      </c>
      <c r="J1802" s="2">
        <f>I1802 - INT(ROUND($B$4 * 30.4375, 0) * (49+0.5)/50)</f>
        <v>0</v>
      </c>
      <c r="K1802" s="4">
        <f>VLOOKUP(J1802, '1_Rate_Changes'!$A$2:$C$100, 3, TRUE)</f>
        <v>0</v>
      </c>
    </row>
    <row r="1803" spans="7:11">
      <c r="G1803">
        <v>36</v>
      </c>
      <c r="H1803">
        <v>0</v>
      </c>
      <c r="I1803" s="2">
        <f>INT(DATE($B$3,1,1) + (36+0.5)*365/50)</f>
        <v>0</v>
      </c>
      <c r="J1803" s="2">
        <f>I1803 - INT(ROUND($B$4 * 30.4375, 0) * (0+0.5)/50)</f>
        <v>0</v>
      </c>
      <c r="K1803" s="4">
        <f>VLOOKUP(J1803, '1_Rate_Changes'!$A$2:$C$100, 3, TRUE)</f>
        <v>0</v>
      </c>
    </row>
    <row r="1804" spans="7:11">
      <c r="G1804">
        <v>36</v>
      </c>
      <c r="H1804">
        <v>1</v>
      </c>
      <c r="I1804" s="2">
        <f>INT(DATE($B$3,1,1) + (36+0.5)*365/50)</f>
        <v>0</v>
      </c>
      <c r="J1804" s="2">
        <f>I1804 - INT(ROUND($B$4 * 30.4375, 0) * (1+0.5)/50)</f>
        <v>0</v>
      </c>
      <c r="K1804" s="4">
        <f>VLOOKUP(J1804, '1_Rate_Changes'!$A$2:$C$100, 3, TRUE)</f>
        <v>0</v>
      </c>
    </row>
    <row r="1805" spans="7:11">
      <c r="G1805">
        <v>36</v>
      </c>
      <c r="H1805">
        <v>2</v>
      </c>
      <c r="I1805" s="2">
        <f>INT(DATE($B$3,1,1) + (36+0.5)*365/50)</f>
        <v>0</v>
      </c>
      <c r="J1805" s="2">
        <f>I1805 - INT(ROUND($B$4 * 30.4375, 0) * (2+0.5)/50)</f>
        <v>0</v>
      </c>
      <c r="K1805" s="4">
        <f>VLOOKUP(J1805, '1_Rate_Changes'!$A$2:$C$100, 3, TRUE)</f>
        <v>0</v>
      </c>
    </row>
    <row r="1806" spans="7:11">
      <c r="G1806">
        <v>36</v>
      </c>
      <c r="H1806">
        <v>3</v>
      </c>
      <c r="I1806" s="2">
        <f>INT(DATE($B$3,1,1) + (36+0.5)*365/50)</f>
        <v>0</v>
      </c>
      <c r="J1806" s="2">
        <f>I1806 - INT(ROUND($B$4 * 30.4375, 0) * (3+0.5)/50)</f>
        <v>0</v>
      </c>
      <c r="K1806" s="4">
        <f>VLOOKUP(J1806, '1_Rate_Changes'!$A$2:$C$100, 3, TRUE)</f>
        <v>0</v>
      </c>
    </row>
    <row r="1807" spans="7:11">
      <c r="G1807">
        <v>36</v>
      </c>
      <c r="H1807">
        <v>4</v>
      </c>
      <c r="I1807" s="2">
        <f>INT(DATE($B$3,1,1) + (36+0.5)*365/50)</f>
        <v>0</v>
      </c>
      <c r="J1807" s="2">
        <f>I1807 - INT(ROUND($B$4 * 30.4375, 0) * (4+0.5)/50)</f>
        <v>0</v>
      </c>
      <c r="K1807" s="4">
        <f>VLOOKUP(J1807, '1_Rate_Changes'!$A$2:$C$100, 3, TRUE)</f>
        <v>0</v>
      </c>
    </row>
    <row r="1808" spans="7:11">
      <c r="G1808">
        <v>36</v>
      </c>
      <c r="H1808">
        <v>5</v>
      </c>
      <c r="I1808" s="2">
        <f>INT(DATE($B$3,1,1) + (36+0.5)*365/50)</f>
        <v>0</v>
      </c>
      <c r="J1808" s="2">
        <f>I1808 - INT(ROUND($B$4 * 30.4375, 0) * (5+0.5)/50)</f>
        <v>0</v>
      </c>
      <c r="K1808" s="4">
        <f>VLOOKUP(J1808, '1_Rate_Changes'!$A$2:$C$100, 3, TRUE)</f>
        <v>0</v>
      </c>
    </row>
    <row r="1809" spans="7:11">
      <c r="G1809">
        <v>36</v>
      </c>
      <c r="H1809">
        <v>6</v>
      </c>
      <c r="I1809" s="2">
        <f>INT(DATE($B$3,1,1) + (36+0.5)*365/50)</f>
        <v>0</v>
      </c>
      <c r="J1809" s="2">
        <f>I1809 - INT(ROUND($B$4 * 30.4375, 0) * (6+0.5)/50)</f>
        <v>0</v>
      </c>
      <c r="K1809" s="4">
        <f>VLOOKUP(J1809, '1_Rate_Changes'!$A$2:$C$100, 3, TRUE)</f>
        <v>0</v>
      </c>
    </row>
    <row r="1810" spans="7:11">
      <c r="G1810">
        <v>36</v>
      </c>
      <c r="H1810">
        <v>7</v>
      </c>
      <c r="I1810" s="2">
        <f>INT(DATE($B$3,1,1) + (36+0.5)*365/50)</f>
        <v>0</v>
      </c>
      <c r="J1810" s="2">
        <f>I1810 - INT(ROUND($B$4 * 30.4375, 0) * (7+0.5)/50)</f>
        <v>0</v>
      </c>
      <c r="K1810" s="4">
        <f>VLOOKUP(J1810, '1_Rate_Changes'!$A$2:$C$100, 3, TRUE)</f>
        <v>0</v>
      </c>
    </row>
    <row r="1811" spans="7:11">
      <c r="G1811">
        <v>36</v>
      </c>
      <c r="H1811">
        <v>8</v>
      </c>
      <c r="I1811" s="2">
        <f>INT(DATE($B$3,1,1) + (36+0.5)*365/50)</f>
        <v>0</v>
      </c>
      <c r="J1811" s="2">
        <f>I1811 - INT(ROUND($B$4 * 30.4375, 0) * (8+0.5)/50)</f>
        <v>0</v>
      </c>
      <c r="K1811" s="4">
        <f>VLOOKUP(J1811, '1_Rate_Changes'!$A$2:$C$100, 3, TRUE)</f>
        <v>0</v>
      </c>
    </row>
    <row r="1812" spans="7:11">
      <c r="G1812">
        <v>36</v>
      </c>
      <c r="H1812">
        <v>9</v>
      </c>
      <c r="I1812" s="2">
        <f>INT(DATE($B$3,1,1) + (36+0.5)*365/50)</f>
        <v>0</v>
      </c>
      <c r="J1812" s="2">
        <f>I1812 - INT(ROUND($B$4 * 30.4375, 0) * (9+0.5)/50)</f>
        <v>0</v>
      </c>
      <c r="K1812" s="4">
        <f>VLOOKUP(J1812, '1_Rate_Changes'!$A$2:$C$100, 3, TRUE)</f>
        <v>0</v>
      </c>
    </row>
    <row r="1813" spans="7:11">
      <c r="G1813">
        <v>36</v>
      </c>
      <c r="H1813">
        <v>10</v>
      </c>
      <c r="I1813" s="2">
        <f>INT(DATE($B$3,1,1) + (36+0.5)*365/50)</f>
        <v>0</v>
      </c>
      <c r="J1813" s="2">
        <f>I1813 - INT(ROUND($B$4 * 30.4375, 0) * (10+0.5)/50)</f>
        <v>0</v>
      </c>
      <c r="K1813" s="4">
        <f>VLOOKUP(J1813, '1_Rate_Changes'!$A$2:$C$100, 3, TRUE)</f>
        <v>0</v>
      </c>
    </row>
    <row r="1814" spans="7:11">
      <c r="G1814">
        <v>36</v>
      </c>
      <c r="H1814">
        <v>11</v>
      </c>
      <c r="I1814" s="2">
        <f>INT(DATE($B$3,1,1) + (36+0.5)*365/50)</f>
        <v>0</v>
      </c>
      <c r="J1814" s="2">
        <f>I1814 - INT(ROUND($B$4 * 30.4375, 0) * (11+0.5)/50)</f>
        <v>0</v>
      </c>
      <c r="K1814" s="4">
        <f>VLOOKUP(J1814, '1_Rate_Changes'!$A$2:$C$100, 3, TRUE)</f>
        <v>0</v>
      </c>
    </row>
    <row r="1815" spans="7:11">
      <c r="G1815">
        <v>36</v>
      </c>
      <c r="H1815">
        <v>12</v>
      </c>
      <c r="I1815" s="2">
        <f>INT(DATE($B$3,1,1) + (36+0.5)*365/50)</f>
        <v>0</v>
      </c>
      <c r="J1815" s="2">
        <f>I1815 - INT(ROUND($B$4 * 30.4375, 0) * (12+0.5)/50)</f>
        <v>0</v>
      </c>
      <c r="K1815" s="4">
        <f>VLOOKUP(J1815, '1_Rate_Changes'!$A$2:$C$100, 3, TRUE)</f>
        <v>0</v>
      </c>
    </row>
    <row r="1816" spans="7:11">
      <c r="G1816">
        <v>36</v>
      </c>
      <c r="H1816">
        <v>13</v>
      </c>
      <c r="I1816" s="2">
        <f>INT(DATE($B$3,1,1) + (36+0.5)*365/50)</f>
        <v>0</v>
      </c>
      <c r="J1816" s="2">
        <f>I1816 - INT(ROUND($B$4 * 30.4375, 0) * (13+0.5)/50)</f>
        <v>0</v>
      </c>
      <c r="K1816" s="4">
        <f>VLOOKUP(J1816, '1_Rate_Changes'!$A$2:$C$100, 3, TRUE)</f>
        <v>0</v>
      </c>
    </row>
    <row r="1817" spans="7:11">
      <c r="G1817">
        <v>36</v>
      </c>
      <c r="H1817">
        <v>14</v>
      </c>
      <c r="I1817" s="2">
        <f>INT(DATE($B$3,1,1) + (36+0.5)*365/50)</f>
        <v>0</v>
      </c>
      <c r="J1817" s="2">
        <f>I1817 - INT(ROUND($B$4 * 30.4375, 0) * (14+0.5)/50)</f>
        <v>0</v>
      </c>
      <c r="K1817" s="4">
        <f>VLOOKUP(J1817, '1_Rate_Changes'!$A$2:$C$100, 3, TRUE)</f>
        <v>0</v>
      </c>
    </row>
    <row r="1818" spans="7:11">
      <c r="G1818">
        <v>36</v>
      </c>
      <c r="H1818">
        <v>15</v>
      </c>
      <c r="I1818" s="2">
        <f>INT(DATE($B$3,1,1) + (36+0.5)*365/50)</f>
        <v>0</v>
      </c>
      <c r="J1818" s="2">
        <f>I1818 - INT(ROUND($B$4 * 30.4375, 0) * (15+0.5)/50)</f>
        <v>0</v>
      </c>
      <c r="K1818" s="4">
        <f>VLOOKUP(J1818, '1_Rate_Changes'!$A$2:$C$100, 3, TRUE)</f>
        <v>0</v>
      </c>
    </row>
    <row r="1819" spans="7:11">
      <c r="G1819">
        <v>36</v>
      </c>
      <c r="H1819">
        <v>16</v>
      </c>
      <c r="I1819" s="2">
        <f>INT(DATE($B$3,1,1) + (36+0.5)*365/50)</f>
        <v>0</v>
      </c>
      <c r="J1819" s="2">
        <f>I1819 - INT(ROUND($B$4 * 30.4375, 0) * (16+0.5)/50)</f>
        <v>0</v>
      </c>
      <c r="K1819" s="4">
        <f>VLOOKUP(J1819, '1_Rate_Changes'!$A$2:$C$100, 3, TRUE)</f>
        <v>0</v>
      </c>
    </row>
    <row r="1820" spans="7:11">
      <c r="G1820">
        <v>36</v>
      </c>
      <c r="H1820">
        <v>17</v>
      </c>
      <c r="I1820" s="2">
        <f>INT(DATE($B$3,1,1) + (36+0.5)*365/50)</f>
        <v>0</v>
      </c>
      <c r="J1820" s="2">
        <f>I1820 - INT(ROUND($B$4 * 30.4375, 0) * (17+0.5)/50)</f>
        <v>0</v>
      </c>
      <c r="K1820" s="4">
        <f>VLOOKUP(J1820, '1_Rate_Changes'!$A$2:$C$100, 3, TRUE)</f>
        <v>0</v>
      </c>
    </row>
    <row r="1821" spans="7:11">
      <c r="G1821">
        <v>36</v>
      </c>
      <c r="H1821">
        <v>18</v>
      </c>
      <c r="I1821" s="2">
        <f>INT(DATE($B$3,1,1) + (36+0.5)*365/50)</f>
        <v>0</v>
      </c>
      <c r="J1821" s="2">
        <f>I1821 - INT(ROUND($B$4 * 30.4375, 0) * (18+0.5)/50)</f>
        <v>0</v>
      </c>
      <c r="K1821" s="4">
        <f>VLOOKUP(J1821, '1_Rate_Changes'!$A$2:$C$100, 3, TRUE)</f>
        <v>0</v>
      </c>
    </row>
    <row r="1822" spans="7:11">
      <c r="G1822">
        <v>36</v>
      </c>
      <c r="H1822">
        <v>19</v>
      </c>
      <c r="I1822" s="2">
        <f>INT(DATE($B$3,1,1) + (36+0.5)*365/50)</f>
        <v>0</v>
      </c>
      <c r="J1822" s="2">
        <f>I1822 - INT(ROUND($B$4 * 30.4375, 0) * (19+0.5)/50)</f>
        <v>0</v>
      </c>
      <c r="K1822" s="4">
        <f>VLOOKUP(J1822, '1_Rate_Changes'!$A$2:$C$100, 3, TRUE)</f>
        <v>0</v>
      </c>
    </row>
    <row r="1823" spans="7:11">
      <c r="G1823">
        <v>36</v>
      </c>
      <c r="H1823">
        <v>20</v>
      </c>
      <c r="I1823" s="2">
        <f>INT(DATE($B$3,1,1) + (36+0.5)*365/50)</f>
        <v>0</v>
      </c>
      <c r="J1823" s="2">
        <f>I1823 - INT(ROUND($B$4 * 30.4375, 0) * (20+0.5)/50)</f>
        <v>0</v>
      </c>
      <c r="K1823" s="4">
        <f>VLOOKUP(J1823, '1_Rate_Changes'!$A$2:$C$100, 3, TRUE)</f>
        <v>0</v>
      </c>
    </row>
    <row r="1824" spans="7:11">
      <c r="G1824">
        <v>36</v>
      </c>
      <c r="H1824">
        <v>21</v>
      </c>
      <c r="I1824" s="2">
        <f>INT(DATE($B$3,1,1) + (36+0.5)*365/50)</f>
        <v>0</v>
      </c>
      <c r="J1824" s="2">
        <f>I1824 - INT(ROUND($B$4 * 30.4375, 0) * (21+0.5)/50)</f>
        <v>0</v>
      </c>
      <c r="K1824" s="4">
        <f>VLOOKUP(J1824, '1_Rate_Changes'!$A$2:$C$100, 3, TRUE)</f>
        <v>0</v>
      </c>
    </row>
    <row r="1825" spans="7:11">
      <c r="G1825">
        <v>36</v>
      </c>
      <c r="H1825">
        <v>22</v>
      </c>
      <c r="I1825" s="2">
        <f>INT(DATE($B$3,1,1) + (36+0.5)*365/50)</f>
        <v>0</v>
      </c>
      <c r="J1825" s="2">
        <f>I1825 - INT(ROUND($B$4 * 30.4375, 0) * (22+0.5)/50)</f>
        <v>0</v>
      </c>
      <c r="K1825" s="4">
        <f>VLOOKUP(J1825, '1_Rate_Changes'!$A$2:$C$100, 3, TRUE)</f>
        <v>0</v>
      </c>
    </row>
    <row r="1826" spans="7:11">
      <c r="G1826">
        <v>36</v>
      </c>
      <c r="H1826">
        <v>23</v>
      </c>
      <c r="I1826" s="2">
        <f>INT(DATE($B$3,1,1) + (36+0.5)*365/50)</f>
        <v>0</v>
      </c>
      <c r="J1826" s="2">
        <f>I1826 - INT(ROUND($B$4 * 30.4375, 0) * (23+0.5)/50)</f>
        <v>0</v>
      </c>
      <c r="K1826" s="4">
        <f>VLOOKUP(J1826, '1_Rate_Changes'!$A$2:$C$100, 3, TRUE)</f>
        <v>0</v>
      </c>
    </row>
    <row r="1827" spans="7:11">
      <c r="G1827">
        <v>36</v>
      </c>
      <c r="H1827">
        <v>24</v>
      </c>
      <c r="I1827" s="2">
        <f>INT(DATE($B$3,1,1) + (36+0.5)*365/50)</f>
        <v>0</v>
      </c>
      <c r="J1827" s="2">
        <f>I1827 - INT(ROUND($B$4 * 30.4375, 0) * (24+0.5)/50)</f>
        <v>0</v>
      </c>
      <c r="K1827" s="4">
        <f>VLOOKUP(J1827, '1_Rate_Changes'!$A$2:$C$100, 3, TRUE)</f>
        <v>0</v>
      </c>
    </row>
    <row r="1828" spans="7:11">
      <c r="G1828">
        <v>36</v>
      </c>
      <c r="H1828">
        <v>25</v>
      </c>
      <c r="I1828" s="2">
        <f>INT(DATE($B$3,1,1) + (36+0.5)*365/50)</f>
        <v>0</v>
      </c>
      <c r="J1828" s="2">
        <f>I1828 - INT(ROUND($B$4 * 30.4375, 0) * (25+0.5)/50)</f>
        <v>0</v>
      </c>
      <c r="K1828" s="4">
        <f>VLOOKUP(J1828, '1_Rate_Changes'!$A$2:$C$100, 3, TRUE)</f>
        <v>0</v>
      </c>
    </row>
    <row r="1829" spans="7:11">
      <c r="G1829">
        <v>36</v>
      </c>
      <c r="H1829">
        <v>26</v>
      </c>
      <c r="I1829" s="2">
        <f>INT(DATE($B$3,1,1) + (36+0.5)*365/50)</f>
        <v>0</v>
      </c>
      <c r="J1829" s="2">
        <f>I1829 - INT(ROUND($B$4 * 30.4375, 0) * (26+0.5)/50)</f>
        <v>0</v>
      </c>
      <c r="K1829" s="4">
        <f>VLOOKUP(J1829, '1_Rate_Changes'!$A$2:$C$100, 3, TRUE)</f>
        <v>0</v>
      </c>
    </row>
    <row r="1830" spans="7:11">
      <c r="G1830">
        <v>36</v>
      </c>
      <c r="H1830">
        <v>27</v>
      </c>
      <c r="I1830" s="2">
        <f>INT(DATE($B$3,1,1) + (36+0.5)*365/50)</f>
        <v>0</v>
      </c>
      <c r="J1830" s="2">
        <f>I1830 - INT(ROUND($B$4 * 30.4375, 0) * (27+0.5)/50)</f>
        <v>0</v>
      </c>
      <c r="K1830" s="4">
        <f>VLOOKUP(J1830, '1_Rate_Changes'!$A$2:$C$100, 3, TRUE)</f>
        <v>0</v>
      </c>
    </row>
    <row r="1831" spans="7:11">
      <c r="G1831">
        <v>36</v>
      </c>
      <c r="H1831">
        <v>28</v>
      </c>
      <c r="I1831" s="2">
        <f>INT(DATE($B$3,1,1) + (36+0.5)*365/50)</f>
        <v>0</v>
      </c>
      <c r="J1831" s="2">
        <f>I1831 - INT(ROUND($B$4 * 30.4375, 0) * (28+0.5)/50)</f>
        <v>0</v>
      </c>
      <c r="K1831" s="4">
        <f>VLOOKUP(J1831, '1_Rate_Changes'!$A$2:$C$100, 3, TRUE)</f>
        <v>0</v>
      </c>
    </row>
    <row r="1832" spans="7:11">
      <c r="G1832">
        <v>36</v>
      </c>
      <c r="H1832">
        <v>29</v>
      </c>
      <c r="I1832" s="2">
        <f>INT(DATE($B$3,1,1) + (36+0.5)*365/50)</f>
        <v>0</v>
      </c>
      <c r="J1832" s="2">
        <f>I1832 - INT(ROUND($B$4 * 30.4375, 0) * (29+0.5)/50)</f>
        <v>0</v>
      </c>
      <c r="K1832" s="4">
        <f>VLOOKUP(J1832, '1_Rate_Changes'!$A$2:$C$100, 3, TRUE)</f>
        <v>0</v>
      </c>
    </row>
    <row r="1833" spans="7:11">
      <c r="G1833">
        <v>36</v>
      </c>
      <c r="H1833">
        <v>30</v>
      </c>
      <c r="I1833" s="2">
        <f>INT(DATE($B$3,1,1) + (36+0.5)*365/50)</f>
        <v>0</v>
      </c>
      <c r="J1833" s="2">
        <f>I1833 - INT(ROUND($B$4 * 30.4375, 0) * (30+0.5)/50)</f>
        <v>0</v>
      </c>
      <c r="K1833" s="4">
        <f>VLOOKUP(J1833, '1_Rate_Changes'!$A$2:$C$100, 3, TRUE)</f>
        <v>0</v>
      </c>
    </row>
    <row r="1834" spans="7:11">
      <c r="G1834">
        <v>36</v>
      </c>
      <c r="H1834">
        <v>31</v>
      </c>
      <c r="I1834" s="2">
        <f>INT(DATE($B$3,1,1) + (36+0.5)*365/50)</f>
        <v>0</v>
      </c>
      <c r="J1834" s="2">
        <f>I1834 - INT(ROUND($B$4 * 30.4375, 0) * (31+0.5)/50)</f>
        <v>0</v>
      </c>
      <c r="K1834" s="4">
        <f>VLOOKUP(J1834, '1_Rate_Changes'!$A$2:$C$100, 3, TRUE)</f>
        <v>0</v>
      </c>
    </row>
    <row r="1835" spans="7:11">
      <c r="G1835">
        <v>36</v>
      </c>
      <c r="H1835">
        <v>32</v>
      </c>
      <c r="I1835" s="2">
        <f>INT(DATE($B$3,1,1) + (36+0.5)*365/50)</f>
        <v>0</v>
      </c>
      <c r="J1835" s="2">
        <f>I1835 - INT(ROUND($B$4 * 30.4375, 0) * (32+0.5)/50)</f>
        <v>0</v>
      </c>
      <c r="K1835" s="4">
        <f>VLOOKUP(J1835, '1_Rate_Changes'!$A$2:$C$100, 3, TRUE)</f>
        <v>0</v>
      </c>
    </row>
    <row r="1836" spans="7:11">
      <c r="G1836">
        <v>36</v>
      </c>
      <c r="H1836">
        <v>33</v>
      </c>
      <c r="I1836" s="2">
        <f>INT(DATE($B$3,1,1) + (36+0.5)*365/50)</f>
        <v>0</v>
      </c>
      <c r="J1836" s="2">
        <f>I1836 - INT(ROUND($B$4 * 30.4375, 0) * (33+0.5)/50)</f>
        <v>0</v>
      </c>
      <c r="K1836" s="4">
        <f>VLOOKUP(J1836, '1_Rate_Changes'!$A$2:$C$100, 3, TRUE)</f>
        <v>0</v>
      </c>
    </row>
    <row r="1837" spans="7:11">
      <c r="G1837">
        <v>36</v>
      </c>
      <c r="H1837">
        <v>34</v>
      </c>
      <c r="I1837" s="2">
        <f>INT(DATE($B$3,1,1) + (36+0.5)*365/50)</f>
        <v>0</v>
      </c>
      <c r="J1837" s="2">
        <f>I1837 - INT(ROUND($B$4 * 30.4375, 0) * (34+0.5)/50)</f>
        <v>0</v>
      </c>
      <c r="K1837" s="4">
        <f>VLOOKUP(J1837, '1_Rate_Changes'!$A$2:$C$100, 3, TRUE)</f>
        <v>0</v>
      </c>
    </row>
    <row r="1838" spans="7:11">
      <c r="G1838">
        <v>36</v>
      </c>
      <c r="H1838">
        <v>35</v>
      </c>
      <c r="I1838" s="2">
        <f>INT(DATE($B$3,1,1) + (36+0.5)*365/50)</f>
        <v>0</v>
      </c>
      <c r="J1838" s="2">
        <f>I1838 - INT(ROUND($B$4 * 30.4375, 0) * (35+0.5)/50)</f>
        <v>0</v>
      </c>
      <c r="K1838" s="4">
        <f>VLOOKUP(J1838, '1_Rate_Changes'!$A$2:$C$100, 3, TRUE)</f>
        <v>0</v>
      </c>
    </row>
    <row r="1839" spans="7:11">
      <c r="G1839">
        <v>36</v>
      </c>
      <c r="H1839">
        <v>36</v>
      </c>
      <c r="I1839" s="2">
        <f>INT(DATE($B$3,1,1) + (36+0.5)*365/50)</f>
        <v>0</v>
      </c>
      <c r="J1839" s="2">
        <f>I1839 - INT(ROUND($B$4 * 30.4375, 0) * (36+0.5)/50)</f>
        <v>0</v>
      </c>
      <c r="K1839" s="4">
        <f>VLOOKUP(J1839, '1_Rate_Changes'!$A$2:$C$100, 3, TRUE)</f>
        <v>0</v>
      </c>
    </row>
    <row r="1840" spans="7:11">
      <c r="G1840">
        <v>36</v>
      </c>
      <c r="H1840">
        <v>37</v>
      </c>
      <c r="I1840" s="2">
        <f>INT(DATE($B$3,1,1) + (36+0.5)*365/50)</f>
        <v>0</v>
      </c>
      <c r="J1840" s="2">
        <f>I1840 - INT(ROUND($B$4 * 30.4375, 0) * (37+0.5)/50)</f>
        <v>0</v>
      </c>
      <c r="K1840" s="4">
        <f>VLOOKUP(J1840, '1_Rate_Changes'!$A$2:$C$100, 3, TRUE)</f>
        <v>0</v>
      </c>
    </row>
    <row r="1841" spans="7:11">
      <c r="G1841">
        <v>36</v>
      </c>
      <c r="H1841">
        <v>38</v>
      </c>
      <c r="I1841" s="2">
        <f>INT(DATE($B$3,1,1) + (36+0.5)*365/50)</f>
        <v>0</v>
      </c>
      <c r="J1841" s="2">
        <f>I1841 - INT(ROUND($B$4 * 30.4375, 0) * (38+0.5)/50)</f>
        <v>0</v>
      </c>
      <c r="K1841" s="4">
        <f>VLOOKUP(J1841, '1_Rate_Changes'!$A$2:$C$100, 3, TRUE)</f>
        <v>0</v>
      </c>
    </row>
    <row r="1842" spans="7:11">
      <c r="G1842">
        <v>36</v>
      </c>
      <c r="H1842">
        <v>39</v>
      </c>
      <c r="I1842" s="2">
        <f>INT(DATE($B$3,1,1) + (36+0.5)*365/50)</f>
        <v>0</v>
      </c>
      <c r="J1842" s="2">
        <f>I1842 - INT(ROUND($B$4 * 30.4375, 0) * (39+0.5)/50)</f>
        <v>0</v>
      </c>
      <c r="K1842" s="4">
        <f>VLOOKUP(J1842, '1_Rate_Changes'!$A$2:$C$100, 3, TRUE)</f>
        <v>0</v>
      </c>
    </row>
    <row r="1843" spans="7:11">
      <c r="G1843">
        <v>36</v>
      </c>
      <c r="H1843">
        <v>40</v>
      </c>
      <c r="I1843" s="2">
        <f>INT(DATE($B$3,1,1) + (36+0.5)*365/50)</f>
        <v>0</v>
      </c>
      <c r="J1843" s="2">
        <f>I1843 - INT(ROUND($B$4 * 30.4375, 0) * (40+0.5)/50)</f>
        <v>0</v>
      </c>
      <c r="K1843" s="4">
        <f>VLOOKUP(J1843, '1_Rate_Changes'!$A$2:$C$100, 3, TRUE)</f>
        <v>0</v>
      </c>
    </row>
    <row r="1844" spans="7:11">
      <c r="G1844">
        <v>36</v>
      </c>
      <c r="H1844">
        <v>41</v>
      </c>
      <c r="I1844" s="2">
        <f>INT(DATE($B$3,1,1) + (36+0.5)*365/50)</f>
        <v>0</v>
      </c>
      <c r="J1844" s="2">
        <f>I1844 - INT(ROUND($B$4 * 30.4375, 0) * (41+0.5)/50)</f>
        <v>0</v>
      </c>
      <c r="K1844" s="4">
        <f>VLOOKUP(J1844, '1_Rate_Changes'!$A$2:$C$100, 3, TRUE)</f>
        <v>0</v>
      </c>
    </row>
    <row r="1845" spans="7:11">
      <c r="G1845">
        <v>36</v>
      </c>
      <c r="H1845">
        <v>42</v>
      </c>
      <c r="I1845" s="2">
        <f>INT(DATE($B$3,1,1) + (36+0.5)*365/50)</f>
        <v>0</v>
      </c>
      <c r="J1845" s="2">
        <f>I1845 - INT(ROUND($B$4 * 30.4375, 0) * (42+0.5)/50)</f>
        <v>0</v>
      </c>
      <c r="K1845" s="4">
        <f>VLOOKUP(J1845, '1_Rate_Changes'!$A$2:$C$100, 3, TRUE)</f>
        <v>0</v>
      </c>
    </row>
    <row r="1846" spans="7:11">
      <c r="G1846">
        <v>36</v>
      </c>
      <c r="H1846">
        <v>43</v>
      </c>
      <c r="I1846" s="2">
        <f>INT(DATE($B$3,1,1) + (36+0.5)*365/50)</f>
        <v>0</v>
      </c>
      <c r="J1846" s="2">
        <f>I1846 - INT(ROUND($B$4 * 30.4375, 0) * (43+0.5)/50)</f>
        <v>0</v>
      </c>
      <c r="K1846" s="4">
        <f>VLOOKUP(J1846, '1_Rate_Changes'!$A$2:$C$100, 3, TRUE)</f>
        <v>0</v>
      </c>
    </row>
    <row r="1847" spans="7:11">
      <c r="G1847">
        <v>36</v>
      </c>
      <c r="H1847">
        <v>44</v>
      </c>
      <c r="I1847" s="2">
        <f>INT(DATE($B$3,1,1) + (36+0.5)*365/50)</f>
        <v>0</v>
      </c>
      <c r="J1847" s="2">
        <f>I1847 - INT(ROUND($B$4 * 30.4375, 0) * (44+0.5)/50)</f>
        <v>0</v>
      </c>
      <c r="K1847" s="4">
        <f>VLOOKUP(J1847, '1_Rate_Changes'!$A$2:$C$100, 3, TRUE)</f>
        <v>0</v>
      </c>
    </row>
    <row r="1848" spans="7:11">
      <c r="G1848">
        <v>36</v>
      </c>
      <c r="H1848">
        <v>45</v>
      </c>
      <c r="I1848" s="2">
        <f>INT(DATE($B$3,1,1) + (36+0.5)*365/50)</f>
        <v>0</v>
      </c>
      <c r="J1848" s="2">
        <f>I1848 - INT(ROUND($B$4 * 30.4375, 0) * (45+0.5)/50)</f>
        <v>0</v>
      </c>
      <c r="K1848" s="4">
        <f>VLOOKUP(J1848, '1_Rate_Changes'!$A$2:$C$100, 3, TRUE)</f>
        <v>0</v>
      </c>
    </row>
    <row r="1849" spans="7:11">
      <c r="G1849">
        <v>36</v>
      </c>
      <c r="H1849">
        <v>46</v>
      </c>
      <c r="I1849" s="2">
        <f>INT(DATE($B$3,1,1) + (36+0.5)*365/50)</f>
        <v>0</v>
      </c>
      <c r="J1849" s="2">
        <f>I1849 - INT(ROUND($B$4 * 30.4375, 0) * (46+0.5)/50)</f>
        <v>0</v>
      </c>
      <c r="K1849" s="4">
        <f>VLOOKUP(J1849, '1_Rate_Changes'!$A$2:$C$100, 3, TRUE)</f>
        <v>0</v>
      </c>
    </row>
    <row r="1850" spans="7:11">
      <c r="G1850">
        <v>36</v>
      </c>
      <c r="H1850">
        <v>47</v>
      </c>
      <c r="I1850" s="2">
        <f>INT(DATE($B$3,1,1) + (36+0.5)*365/50)</f>
        <v>0</v>
      </c>
      <c r="J1850" s="2">
        <f>I1850 - INT(ROUND($B$4 * 30.4375, 0) * (47+0.5)/50)</f>
        <v>0</v>
      </c>
      <c r="K1850" s="4">
        <f>VLOOKUP(J1850, '1_Rate_Changes'!$A$2:$C$100, 3, TRUE)</f>
        <v>0</v>
      </c>
    </row>
    <row r="1851" spans="7:11">
      <c r="G1851">
        <v>36</v>
      </c>
      <c r="H1851">
        <v>48</v>
      </c>
      <c r="I1851" s="2">
        <f>INT(DATE($B$3,1,1) + (36+0.5)*365/50)</f>
        <v>0</v>
      </c>
      <c r="J1851" s="2">
        <f>I1851 - INT(ROUND($B$4 * 30.4375, 0) * (48+0.5)/50)</f>
        <v>0</v>
      </c>
      <c r="K1851" s="4">
        <f>VLOOKUP(J1851, '1_Rate_Changes'!$A$2:$C$100, 3, TRUE)</f>
        <v>0</v>
      </c>
    </row>
    <row r="1852" spans="7:11">
      <c r="G1852">
        <v>36</v>
      </c>
      <c r="H1852">
        <v>49</v>
      </c>
      <c r="I1852" s="2">
        <f>INT(DATE($B$3,1,1) + (36+0.5)*365/50)</f>
        <v>0</v>
      </c>
      <c r="J1852" s="2">
        <f>I1852 - INT(ROUND($B$4 * 30.4375, 0) * (49+0.5)/50)</f>
        <v>0</v>
      </c>
      <c r="K1852" s="4">
        <f>VLOOKUP(J1852, '1_Rate_Changes'!$A$2:$C$100, 3, TRUE)</f>
        <v>0</v>
      </c>
    </row>
    <row r="1853" spans="7:11">
      <c r="G1853">
        <v>37</v>
      </c>
      <c r="H1853">
        <v>0</v>
      </c>
      <c r="I1853" s="2">
        <f>INT(DATE($B$3,1,1) + (37+0.5)*365/50)</f>
        <v>0</v>
      </c>
      <c r="J1853" s="2">
        <f>I1853 - INT(ROUND($B$4 * 30.4375, 0) * (0+0.5)/50)</f>
        <v>0</v>
      </c>
      <c r="K1853" s="4">
        <f>VLOOKUP(J1853, '1_Rate_Changes'!$A$2:$C$100, 3, TRUE)</f>
        <v>0</v>
      </c>
    </row>
    <row r="1854" spans="7:11">
      <c r="G1854">
        <v>37</v>
      </c>
      <c r="H1854">
        <v>1</v>
      </c>
      <c r="I1854" s="2">
        <f>INT(DATE($B$3,1,1) + (37+0.5)*365/50)</f>
        <v>0</v>
      </c>
      <c r="J1854" s="2">
        <f>I1854 - INT(ROUND($B$4 * 30.4375, 0) * (1+0.5)/50)</f>
        <v>0</v>
      </c>
      <c r="K1854" s="4">
        <f>VLOOKUP(J1854, '1_Rate_Changes'!$A$2:$C$100, 3, TRUE)</f>
        <v>0</v>
      </c>
    </row>
    <row r="1855" spans="7:11">
      <c r="G1855">
        <v>37</v>
      </c>
      <c r="H1855">
        <v>2</v>
      </c>
      <c r="I1855" s="2">
        <f>INT(DATE($B$3,1,1) + (37+0.5)*365/50)</f>
        <v>0</v>
      </c>
      <c r="J1855" s="2">
        <f>I1855 - INT(ROUND($B$4 * 30.4375, 0) * (2+0.5)/50)</f>
        <v>0</v>
      </c>
      <c r="K1855" s="4">
        <f>VLOOKUP(J1855, '1_Rate_Changes'!$A$2:$C$100, 3, TRUE)</f>
        <v>0</v>
      </c>
    </row>
    <row r="1856" spans="7:11">
      <c r="G1856">
        <v>37</v>
      </c>
      <c r="H1856">
        <v>3</v>
      </c>
      <c r="I1856" s="2">
        <f>INT(DATE($B$3,1,1) + (37+0.5)*365/50)</f>
        <v>0</v>
      </c>
      <c r="J1856" s="2">
        <f>I1856 - INT(ROUND($B$4 * 30.4375, 0) * (3+0.5)/50)</f>
        <v>0</v>
      </c>
      <c r="K1856" s="4">
        <f>VLOOKUP(J1856, '1_Rate_Changes'!$A$2:$C$100, 3, TRUE)</f>
        <v>0</v>
      </c>
    </row>
    <row r="1857" spans="7:11">
      <c r="G1857">
        <v>37</v>
      </c>
      <c r="H1857">
        <v>4</v>
      </c>
      <c r="I1857" s="2">
        <f>INT(DATE($B$3,1,1) + (37+0.5)*365/50)</f>
        <v>0</v>
      </c>
      <c r="J1857" s="2">
        <f>I1857 - INT(ROUND($B$4 * 30.4375, 0) * (4+0.5)/50)</f>
        <v>0</v>
      </c>
      <c r="K1857" s="4">
        <f>VLOOKUP(J1857, '1_Rate_Changes'!$A$2:$C$100, 3, TRUE)</f>
        <v>0</v>
      </c>
    </row>
    <row r="1858" spans="7:11">
      <c r="G1858">
        <v>37</v>
      </c>
      <c r="H1858">
        <v>5</v>
      </c>
      <c r="I1858" s="2">
        <f>INT(DATE($B$3,1,1) + (37+0.5)*365/50)</f>
        <v>0</v>
      </c>
      <c r="J1858" s="2">
        <f>I1858 - INT(ROUND($B$4 * 30.4375, 0) * (5+0.5)/50)</f>
        <v>0</v>
      </c>
      <c r="K1858" s="4">
        <f>VLOOKUP(J1858, '1_Rate_Changes'!$A$2:$C$100, 3, TRUE)</f>
        <v>0</v>
      </c>
    </row>
    <row r="1859" spans="7:11">
      <c r="G1859">
        <v>37</v>
      </c>
      <c r="H1859">
        <v>6</v>
      </c>
      <c r="I1859" s="2">
        <f>INT(DATE($B$3,1,1) + (37+0.5)*365/50)</f>
        <v>0</v>
      </c>
      <c r="J1859" s="2">
        <f>I1859 - INT(ROUND($B$4 * 30.4375, 0) * (6+0.5)/50)</f>
        <v>0</v>
      </c>
      <c r="K1859" s="4">
        <f>VLOOKUP(J1859, '1_Rate_Changes'!$A$2:$C$100, 3, TRUE)</f>
        <v>0</v>
      </c>
    </row>
    <row r="1860" spans="7:11">
      <c r="G1860">
        <v>37</v>
      </c>
      <c r="H1860">
        <v>7</v>
      </c>
      <c r="I1860" s="2">
        <f>INT(DATE($B$3,1,1) + (37+0.5)*365/50)</f>
        <v>0</v>
      </c>
      <c r="J1860" s="2">
        <f>I1860 - INT(ROUND($B$4 * 30.4375, 0) * (7+0.5)/50)</f>
        <v>0</v>
      </c>
      <c r="K1860" s="4">
        <f>VLOOKUP(J1860, '1_Rate_Changes'!$A$2:$C$100, 3, TRUE)</f>
        <v>0</v>
      </c>
    </row>
    <row r="1861" spans="7:11">
      <c r="G1861">
        <v>37</v>
      </c>
      <c r="H1861">
        <v>8</v>
      </c>
      <c r="I1861" s="2">
        <f>INT(DATE($B$3,1,1) + (37+0.5)*365/50)</f>
        <v>0</v>
      </c>
      <c r="J1861" s="2">
        <f>I1861 - INT(ROUND($B$4 * 30.4375, 0) * (8+0.5)/50)</f>
        <v>0</v>
      </c>
      <c r="K1861" s="4">
        <f>VLOOKUP(J1861, '1_Rate_Changes'!$A$2:$C$100, 3, TRUE)</f>
        <v>0</v>
      </c>
    </row>
    <row r="1862" spans="7:11">
      <c r="G1862">
        <v>37</v>
      </c>
      <c r="H1862">
        <v>9</v>
      </c>
      <c r="I1862" s="2">
        <f>INT(DATE($B$3,1,1) + (37+0.5)*365/50)</f>
        <v>0</v>
      </c>
      <c r="J1862" s="2">
        <f>I1862 - INT(ROUND($B$4 * 30.4375, 0) * (9+0.5)/50)</f>
        <v>0</v>
      </c>
      <c r="K1862" s="4">
        <f>VLOOKUP(J1862, '1_Rate_Changes'!$A$2:$C$100, 3, TRUE)</f>
        <v>0</v>
      </c>
    </row>
    <row r="1863" spans="7:11">
      <c r="G1863">
        <v>37</v>
      </c>
      <c r="H1863">
        <v>10</v>
      </c>
      <c r="I1863" s="2">
        <f>INT(DATE($B$3,1,1) + (37+0.5)*365/50)</f>
        <v>0</v>
      </c>
      <c r="J1863" s="2">
        <f>I1863 - INT(ROUND($B$4 * 30.4375, 0) * (10+0.5)/50)</f>
        <v>0</v>
      </c>
      <c r="K1863" s="4">
        <f>VLOOKUP(J1863, '1_Rate_Changes'!$A$2:$C$100, 3, TRUE)</f>
        <v>0</v>
      </c>
    </row>
    <row r="1864" spans="7:11">
      <c r="G1864">
        <v>37</v>
      </c>
      <c r="H1864">
        <v>11</v>
      </c>
      <c r="I1864" s="2">
        <f>INT(DATE($B$3,1,1) + (37+0.5)*365/50)</f>
        <v>0</v>
      </c>
      <c r="J1864" s="2">
        <f>I1864 - INT(ROUND($B$4 * 30.4375, 0) * (11+0.5)/50)</f>
        <v>0</v>
      </c>
      <c r="K1864" s="4">
        <f>VLOOKUP(J1864, '1_Rate_Changes'!$A$2:$C$100, 3, TRUE)</f>
        <v>0</v>
      </c>
    </row>
    <row r="1865" spans="7:11">
      <c r="G1865">
        <v>37</v>
      </c>
      <c r="H1865">
        <v>12</v>
      </c>
      <c r="I1865" s="2">
        <f>INT(DATE($B$3,1,1) + (37+0.5)*365/50)</f>
        <v>0</v>
      </c>
      <c r="J1865" s="2">
        <f>I1865 - INT(ROUND($B$4 * 30.4375, 0) * (12+0.5)/50)</f>
        <v>0</v>
      </c>
      <c r="K1865" s="4">
        <f>VLOOKUP(J1865, '1_Rate_Changes'!$A$2:$C$100, 3, TRUE)</f>
        <v>0</v>
      </c>
    </row>
    <row r="1866" spans="7:11">
      <c r="G1866">
        <v>37</v>
      </c>
      <c r="H1866">
        <v>13</v>
      </c>
      <c r="I1866" s="2">
        <f>INT(DATE($B$3,1,1) + (37+0.5)*365/50)</f>
        <v>0</v>
      </c>
      <c r="J1866" s="2">
        <f>I1866 - INT(ROUND($B$4 * 30.4375, 0) * (13+0.5)/50)</f>
        <v>0</v>
      </c>
      <c r="K1866" s="4">
        <f>VLOOKUP(J1866, '1_Rate_Changes'!$A$2:$C$100, 3, TRUE)</f>
        <v>0</v>
      </c>
    </row>
    <row r="1867" spans="7:11">
      <c r="G1867">
        <v>37</v>
      </c>
      <c r="H1867">
        <v>14</v>
      </c>
      <c r="I1867" s="2">
        <f>INT(DATE($B$3,1,1) + (37+0.5)*365/50)</f>
        <v>0</v>
      </c>
      <c r="J1867" s="2">
        <f>I1867 - INT(ROUND($B$4 * 30.4375, 0) * (14+0.5)/50)</f>
        <v>0</v>
      </c>
      <c r="K1867" s="4">
        <f>VLOOKUP(J1867, '1_Rate_Changes'!$A$2:$C$100, 3, TRUE)</f>
        <v>0</v>
      </c>
    </row>
    <row r="1868" spans="7:11">
      <c r="G1868">
        <v>37</v>
      </c>
      <c r="H1868">
        <v>15</v>
      </c>
      <c r="I1868" s="2">
        <f>INT(DATE($B$3,1,1) + (37+0.5)*365/50)</f>
        <v>0</v>
      </c>
      <c r="J1868" s="2">
        <f>I1868 - INT(ROUND($B$4 * 30.4375, 0) * (15+0.5)/50)</f>
        <v>0</v>
      </c>
      <c r="K1868" s="4">
        <f>VLOOKUP(J1868, '1_Rate_Changes'!$A$2:$C$100, 3, TRUE)</f>
        <v>0</v>
      </c>
    </row>
    <row r="1869" spans="7:11">
      <c r="G1869">
        <v>37</v>
      </c>
      <c r="H1869">
        <v>16</v>
      </c>
      <c r="I1869" s="2">
        <f>INT(DATE($B$3,1,1) + (37+0.5)*365/50)</f>
        <v>0</v>
      </c>
      <c r="J1869" s="2">
        <f>I1869 - INT(ROUND($B$4 * 30.4375, 0) * (16+0.5)/50)</f>
        <v>0</v>
      </c>
      <c r="K1869" s="4">
        <f>VLOOKUP(J1869, '1_Rate_Changes'!$A$2:$C$100, 3, TRUE)</f>
        <v>0</v>
      </c>
    </row>
    <row r="1870" spans="7:11">
      <c r="G1870">
        <v>37</v>
      </c>
      <c r="H1870">
        <v>17</v>
      </c>
      <c r="I1870" s="2">
        <f>INT(DATE($B$3,1,1) + (37+0.5)*365/50)</f>
        <v>0</v>
      </c>
      <c r="J1870" s="2">
        <f>I1870 - INT(ROUND($B$4 * 30.4375, 0) * (17+0.5)/50)</f>
        <v>0</v>
      </c>
      <c r="K1870" s="4">
        <f>VLOOKUP(J1870, '1_Rate_Changes'!$A$2:$C$100, 3, TRUE)</f>
        <v>0</v>
      </c>
    </row>
    <row r="1871" spans="7:11">
      <c r="G1871">
        <v>37</v>
      </c>
      <c r="H1871">
        <v>18</v>
      </c>
      <c r="I1871" s="2">
        <f>INT(DATE($B$3,1,1) + (37+0.5)*365/50)</f>
        <v>0</v>
      </c>
      <c r="J1871" s="2">
        <f>I1871 - INT(ROUND($B$4 * 30.4375, 0) * (18+0.5)/50)</f>
        <v>0</v>
      </c>
      <c r="K1871" s="4">
        <f>VLOOKUP(J1871, '1_Rate_Changes'!$A$2:$C$100, 3, TRUE)</f>
        <v>0</v>
      </c>
    </row>
    <row r="1872" spans="7:11">
      <c r="G1872">
        <v>37</v>
      </c>
      <c r="H1872">
        <v>19</v>
      </c>
      <c r="I1872" s="2">
        <f>INT(DATE($B$3,1,1) + (37+0.5)*365/50)</f>
        <v>0</v>
      </c>
      <c r="J1872" s="2">
        <f>I1872 - INT(ROUND($B$4 * 30.4375, 0) * (19+0.5)/50)</f>
        <v>0</v>
      </c>
      <c r="K1872" s="4">
        <f>VLOOKUP(J1872, '1_Rate_Changes'!$A$2:$C$100, 3, TRUE)</f>
        <v>0</v>
      </c>
    </row>
    <row r="1873" spans="7:11">
      <c r="G1873">
        <v>37</v>
      </c>
      <c r="H1873">
        <v>20</v>
      </c>
      <c r="I1873" s="2">
        <f>INT(DATE($B$3,1,1) + (37+0.5)*365/50)</f>
        <v>0</v>
      </c>
      <c r="J1873" s="2">
        <f>I1873 - INT(ROUND($B$4 * 30.4375, 0) * (20+0.5)/50)</f>
        <v>0</v>
      </c>
      <c r="K1873" s="4">
        <f>VLOOKUP(J1873, '1_Rate_Changes'!$A$2:$C$100, 3, TRUE)</f>
        <v>0</v>
      </c>
    </row>
    <row r="1874" spans="7:11">
      <c r="G1874">
        <v>37</v>
      </c>
      <c r="H1874">
        <v>21</v>
      </c>
      <c r="I1874" s="2">
        <f>INT(DATE($B$3,1,1) + (37+0.5)*365/50)</f>
        <v>0</v>
      </c>
      <c r="J1874" s="2">
        <f>I1874 - INT(ROUND($B$4 * 30.4375, 0) * (21+0.5)/50)</f>
        <v>0</v>
      </c>
      <c r="K1874" s="4">
        <f>VLOOKUP(J1874, '1_Rate_Changes'!$A$2:$C$100, 3, TRUE)</f>
        <v>0</v>
      </c>
    </row>
    <row r="1875" spans="7:11">
      <c r="G1875">
        <v>37</v>
      </c>
      <c r="H1875">
        <v>22</v>
      </c>
      <c r="I1875" s="2">
        <f>INT(DATE($B$3,1,1) + (37+0.5)*365/50)</f>
        <v>0</v>
      </c>
      <c r="J1875" s="2">
        <f>I1875 - INT(ROUND($B$4 * 30.4375, 0) * (22+0.5)/50)</f>
        <v>0</v>
      </c>
      <c r="K1875" s="4">
        <f>VLOOKUP(J1875, '1_Rate_Changes'!$A$2:$C$100, 3, TRUE)</f>
        <v>0</v>
      </c>
    </row>
    <row r="1876" spans="7:11">
      <c r="G1876">
        <v>37</v>
      </c>
      <c r="H1876">
        <v>23</v>
      </c>
      <c r="I1876" s="2">
        <f>INT(DATE($B$3,1,1) + (37+0.5)*365/50)</f>
        <v>0</v>
      </c>
      <c r="J1876" s="2">
        <f>I1876 - INT(ROUND($B$4 * 30.4375, 0) * (23+0.5)/50)</f>
        <v>0</v>
      </c>
      <c r="K1876" s="4">
        <f>VLOOKUP(J1876, '1_Rate_Changes'!$A$2:$C$100, 3, TRUE)</f>
        <v>0</v>
      </c>
    </row>
    <row r="1877" spans="7:11">
      <c r="G1877">
        <v>37</v>
      </c>
      <c r="H1877">
        <v>24</v>
      </c>
      <c r="I1877" s="2">
        <f>INT(DATE($B$3,1,1) + (37+0.5)*365/50)</f>
        <v>0</v>
      </c>
      <c r="J1877" s="2">
        <f>I1877 - INT(ROUND($B$4 * 30.4375, 0) * (24+0.5)/50)</f>
        <v>0</v>
      </c>
      <c r="K1877" s="4">
        <f>VLOOKUP(J1877, '1_Rate_Changes'!$A$2:$C$100, 3, TRUE)</f>
        <v>0</v>
      </c>
    </row>
    <row r="1878" spans="7:11">
      <c r="G1878">
        <v>37</v>
      </c>
      <c r="H1878">
        <v>25</v>
      </c>
      <c r="I1878" s="2">
        <f>INT(DATE($B$3,1,1) + (37+0.5)*365/50)</f>
        <v>0</v>
      </c>
      <c r="J1878" s="2">
        <f>I1878 - INT(ROUND($B$4 * 30.4375, 0) * (25+0.5)/50)</f>
        <v>0</v>
      </c>
      <c r="K1878" s="4">
        <f>VLOOKUP(J1878, '1_Rate_Changes'!$A$2:$C$100, 3, TRUE)</f>
        <v>0</v>
      </c>
    </row>
    <row r="1879" spans="7:11">
      <c r="G1879">
        <v>37</v>
      </c>
      <c r="H1879">
        <v>26</v>
      </c>
      <c r="I1879" s="2">
        <f>INT(DATE($B$3,1,1) + (37+0.5)*365/50)</f>
        <v>0</v>
      </c>
      <c r="J1879" s="2">
        <f>I1879 - INT(ROUND($B$4 * 30.4375, 0) * (26+0.5)/50)</f>
        <v>0</v>
      </c>
      <c r="K1879" s="4">
        <f>VLOOKUP(J1879, '1_Rate_Changes'!$A$2:$C$100, 3, TRUE)</f>
        <v>0</v>
      </c>
    </row>
    <row r="1880" spans="7:11">
      <c r="G1880">
        <v>37</v>
      </c>
      <c r="H1880">
        <v>27</v>
      </c>
      <c r="I1880" s="2">
        <f>INT(DATE($B$3,1,1) + (37+0.5)*365/50)</f>
        <v>0</v>
      </c>
      <c r="J1880" s="2">
        <f>I1880 - INT(ROUND($B$4 * 30.4375, 0) * (27+0.5)/50)</f>
        <v>0</v>
      </c>
      <c r="K1880" s="4">
        <f>VLOOKUP(J1880, '1_Rate_Changes'!$A$2:$C$100, 3, TRUE)</f>
        <v>0</v>
      </c>
    </row>
    <row r="1881" spans="7:11">
      <c r="G1881">
        <v>37</v>
      </c>
      <c r="H1881">
        <v>28</v>
      </c>
      <c r="I1881" s="2">
        <f>INT(DATE($B$3,1,1) + (37+0.5)*365/50)</f>
        <v>0</v>
      </c>
      <c r="J1881" s="2">
        <f>I1881 - INT(ROUND($B$4 * 30.4375, 0) * (28+0.5)/50)</f>
        <v>0</v>
      </c>
      <c r="K1881" s="4">
        <f>VLOOKUP(J1881, '1_Rate_Changes'!$A$2:$C$100, 3, TRUE)</f>
        <v>0</v>
      </c>
    </row>
    <row r="1882" spans="7:11">
      <c r="G1882">
        <v>37</v>
      </c>
      <c r="H1882">
        <v>29</v>
      </c>
      <c r="I1882" s="2">
        <f>INT(DATE($B$3,1,1) + (37+0.5)*365/50)</f>
        <v>0</v>
      </c>
      <c r="J1882" s="2">
        <f>I1882 - INT(ROUND($B$4 * 30.4375, 0) * (29+0.5)/50)</f>
        <v>0</v>
      </c>
      <c r="K1882" s="4">
        <f>VLOOKUP(J1882, '1_Rate_Changes'!$A$2:$C$100, 3, TRUE)</f>
        <v>0</v>
      </c>
    </row>
    <row r="1883" spans="7:11">
      <c r="G1883">
        <v>37</v>
      </c>
      <c r="H1883">
        <v>30</v>
      </c>
      <c r="I1883" s="2">
        <f>INT(DATE($B$3,1,1) + (37+0.5)*365/50)</f>
        <v>0</v>
      </c>
      <c r="J1883" s="2">
        <f>I1883 - INT(ROUND($B$4 * 30.4375, 0) * (30+0.5)/50)</f>
        <v>0</v>
      </c>
      <c r="K1883" s="4">
        <f>VLOOKUP(J1883, '1_Rate_Changes'!$A$2:$C$100, 3, TRUE)</f>
        <v>0</v>
      </c>
    </row>
    <row r="1884" spans="7:11">
      <c r="G1884">
        <v>37</v>
      </c>
      <c r="H1884">
        <v>31</v>
      </c>
      <c r="I1884" s="2">
        <f>INT(DATE($B$3,1,1) + (37+0.5)*365/50)</f>
        <v>0</v>
      </c>
      <c r="J1884" s="2">
        <f>I1884 - INT(ROUND($B$4 * 30.4375, 0) * (31+0.5)/50)</f>
        <v>0</v>
      </c>
      <c r="K1884" s="4">
        <f>VLOOKUP(J1884, '1_Rate_Changes'!$A$2:$C$100, 3, TRUE)</f>
        <v>0</v>
      </c>
    </row>
    <row r="1885" spans="7:11">
      <c r="G1885">
        <v>37</v>
      </c>
      <c r="H1885">
        <v>32</v>
      </c>
      <c r="I1885" s="2">
        <f>INT(DATE($B$3,1,1) + (37+0.5)*365/50)</f>
        <v>0</v>
      </c>
      <c r="J1885" s="2">
        <f>I1885 - INT(ROUND($B$4 * 30.4375, 0) * (32+0.5)/50)</f>
        <v>0</v>
      </c>
      <c r="K1885" s="4">
        <f>VLOOKUP(J1885, '1_Rate_Changes'!$A$2:$C$100, 3, TRUE)</f>
        <v>0</v>
      </c>
    </row>
    <row r="1886" spans="7:11">
      <c r="G1886">
        <v>37</v>
      </c>
      <c r="H1886">
        <v>33</v>
      </c>
      <c r="I1886" s="2">
        <f>INT(DATE($B$3,1,1) + (37+0.5)*365/50)</f>
        <v>0</v>
      </c>
      <c r="J1886" s="2">
        <f>I1886 - INT(ROUND($B$4 * 30.4375, 0) * (33+0.5)/50)</f>
        <v>0</v>
      </c>
      <c r="K1886" s="4">
        <f>VLOOKUP(J1886, '1_Rate_Changes'!$A$2:$C$100, 3, TRUE)</f>
        <v>0</v>
      </c>
    </row>
    <row r="1887" spans="7:11">
      <c r="G1887">
        <v>37</v>
      </c>
      <c r="H1887">
        <v>34</v>
      </c>
      <c r="I1887" s="2">
        <f>INT(DATE($B$3,1,1) + (37+0.5)*365/50)</f>
        <v>0</v>
      </c>
      <c r="J1887" s="2">
        <f>I1887 - INT(ROUND($B$4 * 30.4375, 0) * (34+0.5)/50)</f>
        <v>0</v>
      </c>
      <c r="K1887" s="4">
        <f>VLOOKUP(J1887, '1_Rate_Changes'!$A$2:$C$100, 3, TRUE)</f>
        <v>0</v>
      </c>
    </row>
    <row r="1888" spans="7:11">
      <c r="G1888">
        <v>37</v>
      </c>
      <c r="H1888">
        <v>35</v>
      </c>
      <c r="I1888" s="2">
        <f>INT(DATE($B$3,1,1) + (37+0.5)*365/50)</f>
        <v>0</v>
      </c>
      <c r="J1888" s="2">
        <f>I1888 - INT(ROUND($B$4 * 30.4375, 0) * (35+0.5)/50)</f>
        <v>0</v>
      </c>
      <c r="K1888" s="4">
        <f>VLOOKUP(J1888, '1_Rate_Changes'!$A$2:$C$100, 3, TRUE)</f>
        <v>0</v>
      </c>
    </row>
    <row r="1889" spans="7:11">
      <c r="G1889">
        <v>37</v>
      </c>
      <c r="H1889">
        <v>36</v>
      </c>
      <c r="I1889" s="2">
        <f>INT(DATE($B$3,1,1) + (37+0.5)*365/50)</f>
        <v>0</v>
      </c>
      <c r="J1889" s="2">
        <f>I1889 - INT(ROUND($B$4 * 30.4375, 0) * (36+0.5)/50)</f>
        <v>0</v>
      </c>
      <c r="K1889" s="4">
        <f>VLOOKUP(J1889, '1_Rate_Changes'!$A$2:$C$100, 3, TRUE)</f>
        <v>0</v>
      </c>
    </row>
    <row r="1890" spans="7:11">
      <c r="G1890">
        <v>37</v>
      </c>
      <c r="H1890">
        <v>37</v>
      </c>
      <c r="I1890" s="2">
        <f>INT(DATE($B$3,1,1) + (37+0.5)*365/50)</f>
        <v>0</v>
      </c>
      <c r="J1890" s="2">
        <f>I1890 - INT(ROUND($B$4 * 30.4375, 0) * (37+0.5)/50)</f>
        <v>0</v>
      </c>
      <c r="K1890" s="4">
        <f>VLOOKUP(J1890, '1_Rate_Changes'!$A$2:$C$100, 3, TRUE)</f>
        <v>0</v>
      </c>
    </row>
    <row r="1891" spans="7:11">
      <c r="G1891">
        <v>37</v>
      </c>
      <c r="H1891">
        <v>38</v>
      </c>
      <c r="I1891" s="2">
        <f>INT(DATE($B$3,1,1) + (37+0.5)*365/50)</f>
        <v>0</v>
      </c>
      <c r="J1891" s="2">
        <f>I1891 - INT(ROUND($B$4 * 30.4375, 0) * (38+0.5)/50)</f>
        <v>0</v>
      </c>
      <c r="K1891" s="4">
        <f>VLOOKUP(J1891, '1_Rate_Changes'!$A$2:$C$100, 3, TRUE)</f>
        <v>0</v>
      </c>
    </row>
    <row r="1892" spans="7:11">
      <c r="G1892">
        <v>37</v>
      </c>
      <c r="H1892">
        <v>39</v>
      </c>
      <c r="I1892" s="2">
        <f>INT(DATE($B$3,1,1) + (37+0.5)*365/50)</f>
        <v>0</v>
      </c>
      <c r="J1892" s="2">
        <f>I1892 - INT(ROUND($B$4 * 30.4375, 0) * (39+0.5)/50)</f>
        <v>0</v>
      </c>
      <c r="K1892" s="4">
        <f>VLOOKUP(J1892, '1_Rate_Changes'!$A$2:$C$100, 3, TRUE)</f>
        <v>0</v>
      </c>
    </row>
    <row r="1893" spans="7:11">
      <c r="G1893">
        <v>37</v>
      </c>
      <c r="H1893">
        <v>40</v>
      </c>
      <c r="I1893" s="2">
        <f>INT(DATE($B$3,1,1) + (37+0.5)*365/50)</f>
        <v>0</v>
      </c>
      <c r="J1893" s="2">
        <f>I1893 - INT(ROUND($B$4 * 30.4375, 0) * (40+0.5)/50)</f>
        <v>0</v>
      </c>
      <c r="K1893" s="4">
        <f>VLOOKUP(J1893, '1_Rate_Changes'!$A$2:$C$100, 3, TRUE)</f>
        <v>0</v>
      </c>
    </row>
    <row r="1894" spans="7:11">
      <c r="G1894">
        <v>37</v>
      </c>
      <c r="H1894">
        <v>41</v>
      </c>
      <c r="I1894" s="2">
        <f>INT(DATE($B$3,1,1) + (37+0.5)*365/50)</f>
        <v>0</v>
      </c>
      <c r="J1894" s="2">
        <f>I1894 - INT(ROUND($B$4 * 30.4375, 0) * (41+0.5)/50)</f>
        <v>0</v>
      </c>
      <c r="K1894" s="4">
        <f>VLOOKUP(J1894, '1_Rate_Changes'!$A$2:$C$100, 3, TRUE)</f>
        <v>0</v>
      </c>
    </row>
    <row r="1895" spans="7:11">
      <c r="G1895">
        <v>37</v>
      </c>
      <c r="H1895">
        <v>42</v>
      </c>
      <c r="I1895" s="2">
        <f>INT(DATE($B$3,1,1) + (37+0.5)*365/50)</f>
        <v>0</v>
      </c>
      <c r="J1895" s="2">
        <f>I1895 - INT(ROUND($B$4 * 30.4375, 0) * (42+0.5)/50)</f>
        <v>0</v>
      </c>
      <c r="K1895" s="4">
        <f>VLOOKUP(J1895, '1_Rate_Changes'!$A$2:$C$100, 3, TRUE)</f>
        <v>0</v>
      </c>
    </row>
    <row r="1896" spans="7:11">
      <c r="G1896">
        <v>37</v>
      </c>
      <c r="H1896">
        <v>43</v>
      </c>
      <c r="I1896" s="2">
        <f>INT(DATE($B$3,1,1) + (37+0.5)*365/50)</f>
        <v>0</v>
      </c>
      <c r="J1896" s="2">
        <f>I1896 - INT(ROUND($B$4 * 30.4375, 0) * (43+0.5)/50)</f>
        <v>0</v>
      </c>
      <c r="K1896" s="4">
        <f>VLOOKUP(J1896, '1_Rate_Changes'!$A$2:$C$100, 3, TRUE)</f>
        <v>0</v>
      </c>
    </row>
    <row r="1897" spans="7:11">
      <c r="G1897">
        <v>37</v>
      </c>
      <c r="H1897">
        <v>44</v>
      </c>
      <c r="I1897" s="2">
        <f>INT(DATE($B$3,1,1) + (37+0.5)*365/50)</f>
        <v>0</v>
      </c>
      <c r="J1897" s="2">
        <f>I1897 - INT(ROUND($B$4 * 30.4375, 0) * (44+0.5)/50)</f>
        <v>0</v>
      </c>
      <c r="K1897" s="4">
        <f>VLOOKUP(J1897, '1_Rate_Changes'!$A$2:$C$100, 3, TRUE)</f>
        <v>0</v>
      </c>
    </row>
    <row r="1898" spans="7:11">
      <c r="G1898">
        <v>37</v>
      </c>
      <c r="H1898">
        <v>45</v>
      </c>
      <c r="I1898" s="2">
        <f>INT(DATE($B$3,1,1) + (37+0.5)*365/50)</f>
        <v>0</v>
      </c>
      <c r="J1898" s="2">
        <f>I1898 - INT(ROUND($B$4 * 30.4375, 0) * (45+0.5)/50)</f>
        <v>0</v>
      </c>
      <c r="K1898" s="4">
        <f>VLOOKUP(J1898, '1_Rate_Changes'!$A$2:$C$100, 3, TRUE)</f>
        <v>0</v>
      </c>
    </row>
    <row r="1899" spans="7:11">
      <c r="G1899">
        <v>37</v>
      </c>
      <c r="H1899">
        <v>46</v>
      </c>
      <c r="I1899" s="2">
        <f>INT(DATE($B$3,1,1) + (37+0.5)*365/50)</f>
        <v>0</v>
      </c>
      <c r="J1899" s="2">
        <f>I1899 - INT(ROUND($B$4 * 30.4375, 0) * (46+0.5)/50)</f>
        <v>0</v>
      </c>
      <c r="K1899" s="4">
        <f>VLOOKUP(J1899, '1_Rate_Changes'!$A$2:$C$100, 3, TRUE)</f>
        <v>0</v>
      </c>
    </row>
    <row r="1900" spans="7:11">
      <c r="G1900">
        <v>37</v>
      </c>
      <c r="H1900">
        <v>47</v>
      </c>
      <c r="I1900" s="2">
        <f>INT(DATE($B$3,1,1) + (37+0.5)*365/50)</f>
        <v>0</v>
      </c>
      <c r="J1900" s="2">
        <f>I1900 - INT(ROUND($B$4 * 30.4375, 0) * (47+0.5)/50)</f>
        <v>0</v>
      </c>
      <c r="K1900" s="4">
        <f>VLOOKUP(J1900, '1_Rate_Changes'!$A$2:$C$100, 3, TRUE)</f>
        <v>0</v>
      </c>
    </row>
    <row r="1901" spans="7:11">
      <c r="G1901">
        <v>37</v>
      </c>
      <c r="H1901">
        <v>48</v>
      </c>
      <c r="I1901" s="2">
        <f>INT(DATE($B$3,1,1) + (37+0.5)*365/50)</f>
        <v>0</v>
      </c>
      <c r="J1901" s="2">
        <f>I1901 - INT(ROUND($B$4 * 30.4375, 0) * (48+0.5)/50)</f>
        <v>0</v>
      </c>
      <c r="K1901" s="4">
        <f>VLOOKUP(J1901, '1_Rate_Changes'!$A$2:$C$100, 3, TRUE)</f>
        <v>0</v>
      </c>
    </row>
    <row r="1902" spans="7:11">
      <c r="G1902">
        <v>37</v>
      </c>
      <c r="H1902">
        <v>49</v>
      </c>
      <c r="I1902" s="2">
        <f>INT(DATE($B$3,1,1) + (37+0.5)*365/50)</f>
        <v>0</v>
      </c>
      <c r="J1902" s="2">
        <f>I1902 - INT(ROUND($B$4 * 30.4375, 0) * (49+0.5)/50)</f>
        <v>0</v>
      </c>
      <c r="K1902" s="4">
        <f>VLOOKUP(J1902, '1_Rate_Changes'!$A$2:$C$100, 3, TRUE)</f>
        <v>0</v>
      </c>
    </row>
    <row r="1903" spans="7:11">
      <c r="G1903">
        <v>38</v>
      </c>
      <c r="H1903">
        <v>0</v>
      </c>
      <c r="I1903" s="2">
        <f>INT(DATE($B$3,1,1) + (38+0.5)*365/50)</f>
        <v>0</v>
      </c>
      <c r="J1903" s="2">
        <f>I1903 - INT(ROUND($B$4 * 30.4375, 0) * (0+0.5)/50)</f>
        <v>0</v>
      </c>
      <c r="K1903" s="4">
        <f>VLOOKUP(J1903, '1_Rate_Changes'!$A$2:$C$100, 3, TRUE)</f>
        <v>0</v>
      </c>
    </row>
    <row r="1904" spans="7:11">
      <c r="G1904">
        <v>38</v>
      </c>
      <c r="H1904">
        <v>1</v>
      </c>
      <c r="I1904" s="2">
        <f>INT(DATE($B$3,1,1) + (38+0.5)*365/50)</f>
        <v>0</v>
      </c>
      <c r="J1904" s="2">
        <f>I1904 - INT(ROUND($B$4 * 30.4375, 0) * (1+0.5)/50)</f>
        <v>0</v>
      </c>
      <c r="K1904" s="4">
        <f>VLOOKUP(J1904, '1_Rate_Changes'!$A$2:$C$100, 3, TRUE)</f>
        <v>0</v>
      </c>
    </row>
    <row r="1905" spans="7:11">
      <c r="G1905">
        <v>38</v>
      </c>
      <c r="H1905">
        <v>2</v>
      </c>
      <c r="I1905" s="2">
        <f>INT(DATE($B$3,1,1) + (38+0.5)*365/50)</f>
        <v>0</v>
      </c>
      <c r="J1905" s="2">
        <f>I1905 - INT(ROUND($B$4 * 30.4375, 0) * (2+0.5)/50)</f>
        <v>0</v>
      </c>
      <c r="K1905" s="4">
        <f>VLOOKUP(J1905, '1_Rate_Changes'!$A$2:$C$100, 3, TRUE)</f>
        <v>0</v>
      </c>
    </row>
    <row r="1906" spans="7:11">
      <c r="G1906">
        <v>38</v>
      </c>
      <c r="H1906">
        <v>3</v>
      </c>
      <c r="I1906" s="2">
        <f>INT(DATE($B$3,1,1) + (38+0.5)*365/50)</f>
        <v>0</v>
      </c>
      <c r="J1906" s="2">
        <f>I1906 - INT(ROUND($B$4 * 30.4375, 0) * (3+0.5)/50)</f>
        <v>0</v>
      </c>
      <c r="K1906" s="4">
        <f>VLOOKUP(J1906, '1_Rate_Changes'!$A$2:$C$100, 3, TRUE)</f>
        <v>0</v>
      </c>
    </row>
    <row r="1907" spans="7:11">
      <c r="G1907">
        <v>38</v>
      </c>
      <c r="H1907">
        <v>4</v>
      </c>
      <c r="I1907" s="2">
        <f>INT(DATE($B$3,1,1) + (38+0.5)*365/50)</f>
        <v>0</v>
      </c>
      <c r="J1907" s="2">
        <f>I1907 - INT(ROUND($B$4 * 30.4375, 0) * (4+0.5)/50)</f>
        <v>0</v>
      </c>
      <c r="K1907" s="4">
        <f>VLOOKUP(J1907, '1_Rate_Changes'!$A$2:$C$100, 3, TRUE)</f>
        <v>0</v>
      </c>
    </row>
    <row r="1908" spans="7:11">
      <c r="G1908">
        <v>38</v>
      </c>
      <c r="H1908">
        <v>5</v>
      </c>
      <c r="I1908" s="2">
        <f>INT(DATE($B$3,1,1) + (38+0.5)*365/50)</f>
        <v>0</v>
      </c>
      <c r="J1908" s="2">
        <f>I1908 - INT(ROUND($B$4 * 30.4375, 0) * (5+0.5)/50)</f>
        <v>0</v>
      </c>
      <c r="K1908" s="4">
        <f>VLOOKUP(J1908, '1_Rate_Changes'!$A$2:$C$100, 3, TRUE)</f>
        <v>0</v>
      </c>
    </row>
    <row r="1909" spans="7:11">
      <c r="G1909">
        <v>38</v>
      </c>
      <c r="H1909">
        <v>6</v>
      </c>
      <c r="I1909" s="2">
        <f>INT(DATE($B$3,1,1) + (38+0.5)*365/50)</f>
        <v>0</v>
      </c>
      <c r="J1909" s="2">
        <f>I1909 - INT(ROUND($B$4 * 30.4375, 0) * (6+0.5)/50)</f>
        <v>0</v>
      </c>
      <c r="K1909" s="4">
        <f>VLOOKUP(J1909, '1_Rate_Changes'!$A$2:$C$100, 3, TRUE)</f>
        <v>0</v>
      </c>
    </row>
    <row r="1910" spans="7:11">
      <c r="G1910">
        <v>38</v>
      </c>
      <c r="H1910">
        <v>7</v>
      </c>
      <c r="I1910" s="2">
        <f>INT(DATE($B$3,1,1) + (38+0.5)*365/50)</f>
        <v>0</v>
      </c>
      <c r="J1910" s="2">
        <f>I1910 - INT(ROUND($B$4 * 30.4375, 0) * (7+0.5)/50)</f>
        <v>0</v>
      </c>
      <c r="K1910" s="4">
        <f>VLOOKUP(J1910, '1_Rate_Changes'!$A$2:$C$100, 3, TRUE)</f>
        <v>0</v>
      </c>
    </row>
    <row r="1911" spans="7:11">
      <c r="G1911">
        <v>38</v>
      </c>
      <c r="H1911">
        <v>8</v>
      </c>
      <c r="I1911" s="2">
        <f>INT(DATE($B$3,1,1) + (38+0.5)*365/50)</f>
        <v>0</v>
      </c>
      <c r="J1911" s="2">
        <f>I1911 - INT(ROUND($B$4 * 30.4375, 0) * (8+0.5)/50)</f>
        <v>0</v>
      </c>
      <c r="K1911" s="4">
        <f>VLOOKUP(J1911, '1_Rate_Changes'!$A$2:$C$100, 3, TRUE)</f>
        <v>0</v>
      </c>
    </row>
    <row r="1912" spans="7:11">
      <c r="G1912">
        <v>38</v>
      </c>
      <c r="H1912">
        <v>9</v>
      </c>
      <c r="I1912" s="2">
        <f>INT(DATE($B$3,1,1) + (38+0.5)*365/50)</f>
        <v>0</v>
      </c>
      <c r="J1912" s="2">
        <f>I1912 - INT(ROUND($B$4 * 30.4375, 0) * (9+0.5)/50)</f>
        <v>0</v>
      </c>
      <c r="K1912" s="4">
        <f>VLOOKUP(J1912, '1_Rate_Changes'!$A$2:$C$100, 3, TRUE)</f>
        <v>0</v>
      </c>
    </row>
    <row r="1913" spans="7:11">
      <c r="G1913">
        <v>38</v>
      </c>
      <c r="H1913">
        <v>10</v>
      </c>
      <c r="I1913" s="2">
        <f>INT(DATE($B$3,1,1) + (38+0.5)*365/50)</f>
        <v>0</v>
      </c>
      <c r="J1913" s="2">
        <f>I1913 - INT(ROUND($B$4 * 30.4375, 0) * (10+0.5)/50)</f>
        <v>0</v>
      </c>
      <c r="K1913" s="4">
        <f>VLOOKUP(J1913, '1_Rate_Changes'!$A$2:$C$100, 3, TRUE)</f>
        <v>0</v>
      </c>
    </row>
    <row r="1914" spans="7:11">
      <c r="G1914">
        <v>38</v>
      </c>
      <c r="H1914">
        <v>11</v>
      </c>
      <c r="I1914" s="2">
        <f>INT(DATE($B$3,1,1) + (38+0.5)*365/50)</f>
        <v>0</v>
      </c>
      <c r="J1914" s="2">
        <f>I1914 - INT(ROUND($B$4 * 30.4375, 0) * (11+0.5)/50)</f>
        <v>0</v>
      </c>
      <c r="K1914" s="4">
        <f>VLOOKUP(J1914, '1_Rate_Changes'!$A$2:$C$100, 3, TRUE)</f>
        <v>0</v>
      </c>
    </row>
    <row r="1915" spans="7:11">
      <c r="G1915">
        <v>38</v>
      </c>
      <c r="H1915">
        <v>12</v>
      </c>
      <c r="I1915" s="2">
        <f>INT(DATE($B$3,1,1) + (38+0.5)*365/50)</f>
        <v>0</v>
      </c>
      <c r="J1915" s="2">
        <f>I1915 - INT(ROUND($B$4 * 30.4375, 0) * (12+0.5)/50)</f>
        <v>0</v>
      </c>
      <c r="K1915" s="4">
        <f>VLOOKUP(J1915, '1_Rate_Changes'!$A$2:$C$100, 3, TRUE)</f>
        <v>0</v>
      </c>
    </row>
    <row r="1916" spans="7:11">
      <c r="G1916">
        <v>38</v>
      </c>
      <c r="H1916">
        <v>13</v>
      </c>
      <c r="I1916" s="2">
        <f>INT(DATE($B$3,1,1) + (38+0.5)*365/50)</f>
        <v>0</v>
      </c>
      <c r="J1916" s="2">
        <f>I1916 - INT(ROUND($B$4 * 30.4375, 0) * (13+0.5)/50)</f>
        <v>0</v>
      </c>
      <c r="K1916" s="4">
        <f>VLOOKUP(J1916, '1_Rate_Changes'!$A$2:$C$100, 3, TRUE)</f>
        <v>0</v>
      </c>
    </row>
    <row r="1917" spans="7:11">
      <c r="G1917">
        <v>38</v>
      </c>
      <c r="H1917">
        <v>14</v>
      </c>
      <c r="I1917" s="2">
        <f>INT(DATE($B$3,1,1) + (38+0.5)*365/50)</f>
        <v>0</v>
      </c>
      <c r="J1917" s="2">
        <f>I1917 - INT(ROUND($B$4 * 30.4375, 0) * (14+0.5)/50)</f>
        <v>0</v>
      </c>
      <c r="K1917" s="4">
        <f>VLOOKUP(J1917, '1_Rate_Changes'!$A$2:$C$100, 3, TRUE)</f>
        <v>0</v>
      </c>
    </row>
    <row r="1918" spans="7:11">
      <c r="G1918">
        <v>38</v>
      </c>
      <c r="H1918">
        <v>15</v>
      </c>
      <c r="I1918" s="2">
        <f>INT(DATE($B$3,1,1) + (38+0.5)*365/50)</f>
        <v>0</v>
      </c>
      <c r="J1918" s="2">
        <f>I1918 - INT(ROUND($B$4 * 30.4375, 0) * (15+0.5)/50)</f>
        <v>0</v>
      </c>
      <c r="K1918" s="4">
        <f>VLOOKUP(J1918, '1_Rate_Changes'!$A$2:$C$100, 3, TRUE)</f>
        <v>0</v>
      </c>
    </row>
    <row r="1919" spans="7:11">
      <c r="G1919">
        <v>38</v>
      </c>
      <c r="H1919">
        <v>16</v>
      </c>
      <c r="I1919" s="2">
        <f>INT(DATE($B$3,1,1) + (38+0.5)*365/50)</f>
        <v>0</v>
      </c>
      <c r="J1919" s="2">
        <f>I1919 - INT(ROUND($B$4 * 30.4375, 0) * (16+0.5)/50)</f>
        <v>0</v>
      </c>
      <c r="K1919" s="4">
        <f>VLOOKUP(J1919, '1_Rate_Changes'!$A$2:$C$100, 3, TRUE)</f>
        <v>0</v>
      </c>
    </row>
    <row r="1920" spans="7:11">
      <c r="G1920">
        <v>38</v>
      </c>
      <c r="H1920">
        <v>17</v>
      </c>
      <c r="I1920" s="2">
        <f>INT(DATE($B$3,1,1) + (38+0.5)*365/50)</f>
        <v>0</v>
      </c>
      <c r="J1920" s="2">
        <f>I1920 - INT(ROUND($B$4 * 30.4375, 0) * (17+0.5)/50)</f>
        <v>0</v>
      </c>
      <c r="K1920" s="4">
        <f>VLOOKUP(J1920, '1_Rate_Changes'!$A$2:$C$100, 3, TRUE)</f>
        <v>0</v>
      </c>
    </row>
    <row r="1921" spans="7:11">
      <c r="G1921">
        <v>38</v>
      </c>
      <c r="H1921">
        <v>18</v>
      </c>
      <c r="I1921" s="2">
        <f>INT(DATE($B$3,1,1) + (38+0.5)*365/50)</f>
        <v>0</v>
      </c>
      <c r="J1921" s="2">
        <f>I1921 - INT(ROUND($B$4 * 30.4375, 0) * (18+0.5)/50)</f>
        <v>0</v>
      </c>
      <c r="K1921" s="4">
        <f>VLOOKUP(J1921, '1_Rate_Changes'!$A$2:$C$100, 3, TRUE)</f>
        <v>0</v>
      </c>
    </row>
    <row r="1922" spans="7:11">
      <c r="G1922">
        <v>38</v>
      </c>
      <c r="H1922">
        <v>19</v>
      </c>
      <c r="I1922" s="2">
        <f>INT(DATE($B$3,1,1) + (38+0.5)*365/50)</f>
        <v>0</v>
      </c>
      <c r="J1922" s="2">
        <f>I1922 - INT(ROUND($B$4 * 30.4375, 0) * (19+0.5)/50)</f>
        <v>0</v>
      </c>
      <c r="K1922" s="4">
        <f>VLOOKUP(J1922, '1_Rate_Changes'!$A$2:$C$100, 3, TRUE)</f>
        <v>0</v>
      </c>
    </row>
    <row r="1923" spans="7:11">
      <c r="G1923">
        <v>38</v>
      </c>
      <c r="H1923">
        <v>20</v>
      </c>
      <c r="I1923" s="2">
        <f>INT(DATE($B$3,1,1) + (38+0.5)*365/50)</f>
        <v>0</v>
      </c>
      <c r="J1923" s="2">
        <f>I1923 - INT(ROUND($B$4 * 30.4375, 0) * (20+0.5)/50)</f>
        <v>0</v>
      </c>
      <c r="K1923" s="4">
        <f>VLOOKUP(J1923, '1_Rate_Changes'!$A$2:$C$100, 3, TRUE)</f>
        <v>0</v>
      </c>
    </row>
    <row r="1924" spans="7:11">
      <c r="G1924">
        <v>38</v>
      </c>
      <c r="H1924">
        <v>21</v>
      </c>
      <c r="I1924" s="2">
        <f>INT(DATE($B$3,1,1) + (38+0.5)*365/50)</f>
        <v>0</v>
      </c>
      <c r="J1924" s="2">
        <f>I1924 - INT(ROUND($B$4 * 30.4375, 0) * (21+0.5)/50)</f>
        <v>0</v>
      </c>
      <c r="K1924" s="4">
        <f>VLOOKUP(J1924, '1_Rate_Changes'!$A$2:$C$100, 3, TRUE)</f>
        <v>0</v>
      </c>
    </row>
    <row r="1925" spans="7:11">
      <c r="G1925">
        <v>38</v>
      </c>
      <c r="H1925">
        <v>22</v>
      </c>
      <c r="I1925" s="2">
        <f>INT(DATE($B$3,1,1) + (38+0.5)*365/50)</f>
        <v>0</v>
      </c>
      <c r="J1925" s="2">
        <f>I1925 - INT(ROUND($B$4 * 30.4375, 0) * (22+0.5)/50)</f>
        <v>0</v>
      </c>
      <c r="K1925" s="4">
        <f>VLOOKUP(J1925, '1_Rate_Changes'!$A$2:$C$100, 3, TRUE)</f>
        <v>0</v>
      </c>
    </row>
    <row r="1926" spans="7:11">
      <c r="G1926">
        <v>38</v>
      </c>
      <c r="H1926">
        <v>23</v>
      </c>
      <c r="I1926" s="2">
        <f>INT(DATE($B$3,1,1) + (38+0.5)*365/50)</f>
        <v>0</v>
      </c>
      <c r="J1926" s="2">
        <f>I1926 - INT(ROUND($B$4 * 30.4375, 0) * (23+0.5)/50)</f>
        <v>0</v>
      </c>
      <c r="K1926" s="4">
        <f>VLOOKUP(J1926, '1_Rate_Changes'!$A$2:$C$100, 3, TRUE)</f>
        <v>0</v>
      </c>
    </row>
    <row r="1927" spans="7:11">
      <c r="G1927">
        <v>38</v>
      </c>
      <c r="H1927">
        <v>24</v>
      </c>
      <c r="I1927" s="2">
        <f>INT(DATE($B$3,1,1) + (38+0.5)*365/50)</f>
        <v>0</v>
      </c>
      <c r="J1927" s="2">
        <f>I1927 - INT(ROUND($B$4 * 30.4375, 0) * (24+0.5)/50)</f>
        <v>0</v>
      </c>
      <c r="K1927" s="4">
        <f>VLOOKUP(J1927, '1_Rate_Changes'!$A$2:$C$100, 3, TRUE)</f>
        <v>0</v>
      </c>
    </row>
    <row r="1928" spans="7:11">
      <c r="G1928">
        <v>38</v>
      </c>
      <c r="H1928">
        <v>25</v>
      </c>
      <c r="I1928" s="2">
        <f>INT(DATE($B$3,1,1) + (38+0.5)*365/50)</f>
        <v>0</v>
      </c>
      <c r="J1928" s="2">
        <f>I1928 - INT(ROUND($B$4 * 30.4375, 0) * (25+0.5)/50)</f>
        <v>0</v>
      </c>
      <c r="K1928" s="4">
        <f>VLOOKUP(J1928, '1_Rate_Changes'!$A$2:$C$100, 3, TRUE)</f>
        <v>0</v>
      </c>
    </row>
    <row r="1929" spans="7:11">
      <c r="G1929">
        <v>38</v>
      </c>
      <c r="H1929">
        <v>26</v>
      </c>
      <c r="I1929" s="2">
        <f>INT(DATE($B$3,1,1) + (38+0.5)*365/50)</f>
        <v>0</v>
      </c>
      <c r="J1929" s="2">
        <f>I1929 - INT(ROUND($B$4 * 30.4375, 0) * (26+0.5)/50)</f>
        <v>0</v>
      </c>
      <c r="K1929" s="4">
        <f>VLOOKUP(J1929, '1_Rate_Changes'!$A$2:$C$100, 3, TRUE)</f>
        <v>0</v>
      </c>
    </row>
    <row r="1930" spans="7:11">
      <c r="G1930">
        <v>38</v>
      </c>
      <c r="H1930">
        <v>27</v>
      </c>
      <c r="I1930" s="2">
        <f>INT(DATE($B$3,1,1) + (38+0.5)*365/50)</f>
        <v>0</v>
      </c>
      <c r="J1930" s="2">
        <f>I1930 - INT(ROUND($B$4 * 30.4375, 0) * (27+0.5)/50)</f>
        <v>0</v>
      </c>
      <c r="K1930" s="4">
        <f>VLOOKUP(J1930, '1_Rate_Changes'!$A$2:$C$100, 3, TRUE)</f>
        <v>0</v>
      </c>
    </row>
    <row r="1931" spans="7:11">
      <c r="G1931">
        <v>38</v>
      </c>
      <c r="H1931">
        <v>28</v>
      </c>
      <c r="I1931" s="2">
        <f>INT(DATE($B$3,1,1) + (38+0.5)*365/50)</f>
        <v>0</v>
      </c>
      <c r="J1931" s="2">
        <f>I1931 - INT(ROUND($B$4 * 30.4375, 0) * (28+0.5)/50)</f>
        <v>0</v>
      </c>
      <c r="K1931" s="4">
        <f>VLOOKUP(J1931, '1_Rate_Changes'!$A$2:$C$100, 3, TRUE)</f>
        <v>0</v>
      </c>
    </row>
    <row r="1932" spans="7:11">
      <c r="G1932">
        <v>38</v>
      </c>
      <c r="H1932">
        <v>29</v>
      </c>
      <c r="I1932" s="2">
        <f>INT(DATE($B$3,1,1) + (38+0.5)*365/50)</f>
        <v>0</v>
      </c>
      <c r="J1932" s="2">
        <f>I1932 - INT(ROUND($B$4 * 30.4375, 0) * (29+0.5)/50)</f>
        <v>0</v>
      </c>
      <c r="K1932" s="4">
        <f>VLOOKUP(J1932, '1_Rate_Changes'!$A$2:$C$100, 3, TRUE)</f>
        <v>0</v>
      </c>
    </row>
    <row r="1933" spans="7:11">
      <c r="G1933">
        <v>38</v>
      </c>
      <c r="H1933">
        <v>30</v>
      </c>
      <c r="I1933" s="2">
        <f>INT(DATE($B$3,1,1) + (38+0.5)*365/50)</f>
        <v>0</v>
      </c>
      <c r="J1933" s="2">
        <f>I1933 - INT(ROUND($B$4 * 30.4375, 0) * (30+0.5)/50)</f>
        <v>0</v>
      </c>
      <c r="K1933" s="4">
        <f>VLOOKUP(J1933, '1_Rate_Changes'!$A$2:$C$100, 3, TRUE)</f>
        <v>0</v>
      </c>
    </row>
    <row r="1934" spans="7:11">
      <c r="G1934">
        <v>38</v>
      </c>
      <c r="H1934">
        <v>31</v>
      </c>
      <c r="I1934" s="2">
        <f>INT(DATE($B$3,1,1) + (38+0.5)*365/50)</f>
        <v>0</v>
      </c>
      <c r="J1934" s="2">
        <f>I1934 - INT(ROUND($B$4 * 30.4375, 0) * (31+0.5)/50)</f>
        <v>0</v>
      </c>
      <c r="K1934" s="4">
        <f>VLOOKUP(J1934, '1_Rate_Changes'!$A$2:$C$100, 3, TRUE)</f>
        <v>0</v>
      </c>
    </row>
    <row r="1935" spans="7:11">
      <c r="G1935">
        <v>38</v>
      </c>
      <c r="H1935">
        <v>32</v>
      </c>
      <c r="I1935" s="2">
        <f>INT(DATE($B$3,1,1) + (38+0.5)*365/50)</f>
        <v>0</v>
      </c>
      <c r="J1935" s="2">
        <f>I1935 - INT(ROUND($B$4 * 30.4375, 0) * (32+0.5)/50)</f>
        <v>0</v>
      </c>
      <c r="K1935" s="4">
        <f>VLOOKUP(J1935, '1_Rate_Changes'!$A$2:$C$100, 3, TRUE)</f>
        <v>0</v>
      </c>
    </row>
    <row r="1936" spans="7:11">
      <c r="G1936">
        <v>38</v>
      </c>
      <c r="H1936">
        <v>33</v>
      </c>
      <c r="I1936" s="2">
        <f>INT(DATE($B$3,1,1) + (38+0.5)*365/50)</f>
        <v>0</v>
      </c>
      <c r="J1936" s="2">
        <f>I1936 - INT(ROUND($B$4 * 30.4375, 0) * (33+0.5)/50)</f>
        <v>0</v>
      </c>
      <c r="K1936" s="4">
        <f>VLOOKUP(J1936, '1_Rate_Changes'!$A$2:$C$100, 3, TRUE)</f>
        <v>0</v>
      </c>
    </row>
    <row r="1937" spans="7:11">
      <c r="G1937">
        <v>38</v>
      </c>
      <c r="H1937">
        <v>34</v>
      </c>
      <c r="I1937" s="2">
        <f>INT(DATE($B$3,1,1) + (38+0.5)*365/50)</f>
        <v>0</v>
      </c>
      <c r="J1937" s="2">
        <f>I1937 - INT(ROUND($B$4 * 30.4375, 0) * (34+0.5)/50)</f>
        <v>0</v>
      </c>
      <c r="K1937" s="4">
        <f>VLOOKUP(J1937, '1_Rate_Changes'!$A$2:$C$100, 3, TRUE)</f>
        <v>0</v>
      </c>
    </row>
    <row r="1938" spans="7:11">
      <c r="G1938">
        <v>38</v>
      </c>
      <c r="H1938">
        <v>35</v>
      </c>
      <c r="I1938" s="2">
        <f>INT(DATE($B$3,1,1) + (38+0.5)*365/50)</f>
        <v>0</v>
      </c>
      <c r="J1938" s="2">
        <f>I1938 - INT(ROUND($B$4 * 30.4375, 0) * (35+0.5)/50)</f>
        <v>0</v>
      </c>
      <c r="K1938" s="4">
        <f>VLOOKUP(J1938, '1_Rate_Changes'!$A$2:$C$100, 3, TRUE)</f>
        <v>0</v>
      </c>
    </row>
    <row r="1939" spans="7:11">
      <c r="G1939">
        <v>38</v>
      </c>
      <c r="H1939">
        <v>36</v>
      </c>
      <c r="I1939" s="2">
        <f>INT(DATE($B$3,1,1) + (38+0.5)*365/50)</f>
        <v>0</v>
      </c>
      <c r="J1939" s="2">
        <f>I1939 - INT(ROUND($B$4 * 30.4375, 0) * (36+0.5)/50)</f>
        <v>0</v>
      </c>
      <c r="K1939" s="4">
        <f>VLOOKUP(J1939, '1_Rate_Changes'!$A$2:$C$100, 3, TRUE)</f>
        <v>0</v>
      </c>
    </row>
    <row r="1940" spans="7:11">
      <c r="G1940">
        <v>38</v>
      </c>
      <c r="H1940">
        <v>37</v>
      </c>
      <c r="I1940" s="2">
        <f>INT(DATE($B$3,1,1) + (38+0.5)*365/50)</f>
        <v>0</v>
      </c>
      <c r="J1940" s="2">
        <f>I1940 - INT(ROUND($B$4 * 30.4375, 0) * (37+0.5)/50)</f>
        <v>0</v>
      </c>
      <c r="K1940" s="4">
        <f>VLOOKUP(J1940, '1_Rate_Changes'!$A$2:$C$100, 3, TRUE)</f>
        <v>0</v>
      </c>
    </row>
    <row r="1941" spans="7:11">
      <c r="G1941">
        <v>38</v>
      </c>
      <c r="H1941">
        <v>38</v>
      </c>
      <c r="I1941" s="2">
        <f>INT(DATE($B$3,1,1) + (38+0.5)*365/50)</f>
        <v>0</v>
      </c>
      <c r="J1941" s="2">
        <f>I1941 - INT(ROUND($B$4 * 30.4375, 0) * (38+0.5)/50)</f>
        <v>0</v>
      </c>
      <c r="K1941" s="4">
        <f>VLOOKUP(J1941, '1_Rate_Changes'!$A$2:$C$100, 3, TRUE)</f>
        <v>0</v>
      </c>
    </row>
    <row r="1942" spans="7:11">
      <c r="G1942">
        <v>38</v>
      </c>
      <c r="H1942">
        <v>39</v>
      </c>
      <c r="I1942" s="2">
        <f>INT(DATE($B$3,1,1) + (38+0.5)*365/50)</f>
        <v>0</v>
      </c>
      <c r="J1942" s="2">
        <f>I1942 - INT(ROUND($B$4 * 30.4375, 0) * (39+0.5)/50)</f>
        <v>0</v>
      </c>
      <c r="K1942" s="4">
        <f>VLOOKUP(J1942, '1_Rate_Changes'!$A$2:$C$100, 3, TRUE)</f>
        <v>0</v>
      </c>
    </row>
    <row r="1943" spans="7:11">
      <c r="G1943">
        <v>38</v>
      </c>
      <c r="H1943">
        <v>40</v>
      </c>
      <c r="I1943" s="2">
        <f>INT(DATE($B$3,1,1) + (38+0.5)*365/50)</f>
        <v>0</v>
      </c>
      <c r="J1943" s="2">
        <f>I1943 - INT(ROUND($B$4 * 30.4375, 0) * (40+0.5)/50)</f>
        <v>0</v>
      </c>
      <c r="K1943" s="4">
        <f>VLOOKUP(J1943, '1_Rate_Changes'!$A$2:$C$100, 3, TRUE)</f>
        <v>0</v>
      </c>
    </row>
    <row r="1944" spans="7:11">
      <c r="G1944">
        <v>38</v>
      </c>
      <c r="H1944">
        <v>41</v>
      </c>
      <c r="I1944" s="2">
        <f>INT(DATE($B$3,1,1) + (38+0.5)*365/50)</f>
        <v>0</v>
      </c>
      <c r="J1944" s="2">
        <f>I1944 - INT(ROUND($B$4 * 30.4375, 0) * (41+0.5)/50)</f>
        <v>0</v>
      </c>
      <c r="K1944" s="4">
        <f>VLOOKUP(J1944, '1_Rate_Changes'!$A$2:$C$100, 3, TRUE)</f>
        <v>0</v>
      </c>
    </row>
    <row r="1945" spans="7:11">
      <c r="G1945">
        <v>38</v>
      </c>
      <c r="H1945">
        <v>42</v>
      </c>
      <c r="I1945" s="2">
        <f>INT(DATE($B$3,1,1) + (38+0.5)*365/50)</f>
        <v>0</v>
      </c>
      <c r="J1945" s="2">
        <f>I1945 - INT(ROUND($B$4 * 30.4375, 0) * (42+0.5)/50)</f>
        <v>0</v>
      </c>
      <c r="K1945" s="4">
        <f>VLOOKUP(J1945, '1_Rate_Changes'!$A$2:$C$100, 3, TRUE)</f>
        <v>0</v>
      </c>
    </row>
    <row r="1946" spans="7:11">
      <c r="G1946">
        <v>38</v>
      </c>
      <c r="H1946">
        <v>43</v>
      </c>
      <c r="I1946" s="2">
        <f>INT(DATE($B$3,1,1) + (38+0.5)*365/50)</f>
        <v>0</v>
      </c>
      <c r="J1946" s="2">
        <f>I1946 - INT(ROUND($B$4 * 30.4375, 0) * (43+0.5)/50)</f>
        <v>0</v>
      </c>
      <c r="K1946" s="4">
        <f>VLOOKUP(J1946, '1_Rate_Changes'!$A$2:$C$100, 3, TRUE)</f>
        <v>0</v>
      </c>
    </row>
    <row r="1947" spans="7:11">
      <c r="G1947">
        <v>38</v>
      </c>
      <c r="H1947">
        <v>44</v>
      </c>
      <c r="I1947" s="2">
        <f>INT(DATE($B$3,1,1) + (38+0.5)*365/50)</f>
        <v>0</v>
      </c>
      <c r="J1947" s="2">
        <f>I1947 - INT(ROUND($B$4 * 30.4375, 0) * (44+0.5)/50)</f>
        <v>0</v>
      </c>
      <c r="K1947" s="4">
        <f>VLOOKUP(J1947, '1_Rate_Changes'!$A$2:$C$100, 3, TRUE)</f>
        <v>0</v>
      </c>
    </row>
    <row r="1948" spans="7:11">
      <c r="G1948">
        <v>38</v>
      </c>
      <c r="H1948">
        <v>45</v>
      </c>
      <c r="I1948" s="2">
        <f>INT(DATE($B$3,1,1) + (38+0.5)*365/50)</f>
        <v>0</v>
      </c>
      <c r="J1948" s="2">
        <f>I1948 - INT(ROUND($B$4 * 30.4375, 0) * (45+0.5)/50)</f>
        <v>0</v>
      </c>
      <c r="K1948" s="4">
        <f>VLOOKUP(J1948, '1_Rate_Changes'!$A$2:$C$100, 3, TRUE)</f>
        <v>0</v>
      </c>
    </row>
    <row r="1949" spans="7:11">
      <c r="G1949">
        <v>38</v>
      </c>
      <c r="H1949">
        <v>46</v>
      </c>
      <c r="I1949" s="2">
        <f>INT(DATE($B$3,1,1) + (38+0.5)*365/50)</f>
        <v>0</v>
      </c>
      <c r="J1949" s="2">
        <f>I1949 - INT(ROUND($B$4 * 30.4375, 0) * (46+0.5)/50)</f>
        <v>0</v>
      </c>
      <c r="K1949" s="4">
        <f>VLOOKUP(J1949, '1_Rate_Changes'!$A$2:$C$100, 3, TRUE)</f>
        <v>0</v>
      </c>
    </row>
    <row r="1950" spans="7:11">
      <c r="G1950">
        <v>38</v>
      </c>
      <c r="H1950">
        <v>47</v>
      </c>
      <c r="I1950" s="2">
        <f>INT(DATE($B$3,1,1) + (38+0.5)*365/50)</f>
        <v>0</v>
      </c>
      <c r="J1950" s="2">
        <f>I1950 - INT(ROUND($B$4 * 30.4375, 0) * (47+0.5)/50)</f>
        <v>0</v>
      </c>
      <c r="K1950" s="4">
        <f>VLOOKUP(J1950, '1_Rate_Changes'!$A$2:$C$100, 3, TRUE)</f>
        <v>0</v>
      </c>
    </row>
    <row r="1951" spans="7:11">
      <c r="G1951">
        <v>38</v>
      </c>
      <c r="H1951">
        <v>48</v>
      </c>
      <c r="I1951" s="2">
        <f>INT(DATE($B$3,1,1) + (38+0.5)*365/50)</f>
        <v>0</v>
      </c>
      <c r="J1951" s="2">
        <f>I1951 - INT(ROUND($B$4 * 30.4375, 0) * (48+0.5)/50)</f>
        <v>0</v>
      </c>
      <c r="K1951" s="4">
        <f>VLOOKUP(J1951, '1_Rate_Changes'!$A$2:$C$100, 3, TRUE)</f>
        <v>0</v>
      </c>
    </row>
    <row r="1952" spans="7:11">
      <c r="G1952">
        <v>38</v>
      </c>
      <c r="H1952">
        <v>49</v>
      </c>
      <c r="I1952" s="2">
        <f>INT(DATE($B$3,1,1) + (38+0.5)*365/50)</f>
        <v>0</v>
      </c>
      <c r="J1952" s="2">
        <f>I1952 - INT(ROUND($B$4 * 30.4375, 0) * (49+0.5)/50)</f>
        <v>0</v>
      </c>
      <c r="K1952" s="4">
        <f>VLOOKUP(J1952, '1_Rate_Changes'!$A$2:$C$100, 3, TRUE)</f>
        <v>0</v>
      </c>
    </row>
    <row r="1953" spans="7:11">
      <c r="G1953">
        <v>39</v>
      </c>
      <c r="H1953">
        <v>0</v>
      </c>
      <c r="I1953" s="2">
        <f>INT(DATE($B$3,1,1) + (39+0.5)*365/50)</f>
        <v>0</v>
      </c>
      <c r="J1953" s="2">
        <f>I1953 - INT(ROUND($B$4 * 30.4375, 0) * (0+0.5)/50)</f>
        <v>0</v>
      </c>
      <c r="K1953" s="4">
        <f>VLOOKUP(J1953, '1_Rate_Changes'!$A$2:$C$100, 3, TRUE)</f>
        <v>0</v>
      </c>
    </row>
    <row r="1954" spans="7:11">
      <c r="G1954">
        <v>39</v>
      </c>
      <c r="H1954">
        <v>1</v>
      </c>
      <c r="I1954" s="2">
        <f>INT(DATE($B$3,1,1) + (39+0.5)*365/50)</f>
        <v>0</v>
      </c>
      <c r="J1954" s="2">
        <f>I1954 - INT(ROUND($B$4 * 30.4375, 0) * (1+0.5)/50)</f>
        <v>0</v>
      </c>
      <c r="K1954" s="4">
        <f>VLOOKUP(J1954, '1_Rate_Changes'!$A$2:$C$100, 3, TRUE)</f>
        <v>0</v>
      </c>
    </row>
    <row r="1955" spans="7:11">
      <c r="G1955">
        <v>39</v>
      </c>
      <c r="H1955">
        <v>2</v>
      </c>
      <c r="I1955" s="2">
        <f>INT(DATE($B$3,1,1) + (39+0.5)*365/50)</f>
        <v>0</v>
      </c>
      <c r="J1955" s="2">
        <f>I1955 - INT(ROUND($B$4 * 30.4375, 0) * (2+0.5)/50)</f>
        <v>0</v>
      </c>
      <c r="K1955" s="4">
        <f>VLOOKUP(J1955, '1_Rate_Changes'!$A$2:$C$100, 3, TRUE)</f>
        <v>0</v>
      </c>
    </row>
    <row r="1956" spans="7:11">
      <c r="G1956">
        <v>39</v>
      </c>
      <c r="H1956">
        <v>3</v>
      </c>
      <c r="I1956" s="2">
        <f>INT(DATE($B$3,1,1) + (39+0.5)*365/50)</f>
        <v>0</v>
      </c>
      <c r="J1956" s="2">
        <f>I1956 - INT(ROUND($B$4 * 30.4375, 0) * (3+0.5)/50)</f>
        <v>0</v>
      </c>
      <c r="K1956" s="4">
        <f>VLOOKUP(J1956, '1_Rate_Changes'!$A$2:$C$100, 3, TRUE)</f>
        <v>0</v>
      </c>
    </row>
    <row r="1957" spans="7:11">
      <c r="G1957">
        <v>39</v>
      </c>
      <c r="H1957">
        <v>4</v>
      </c>
      <c r="I1957" s="2">
        <f>INT(DATE($B$3,1,1) + (39+0.5)*365/50)</f>
        <v>0</v>
      </c>
      <c r="J1957" s="2">
        <f>I1957 - INT(ROUND($B$4 * 30.4375, 0) * (4+0.5)/50)</f>
        <v>0</v>
      </c>
      <c r="K1957" s="4">
        <f>VLOOKUP(J1957, '1_Rate_Changes'!$A$2:$C$100, 3, TRUE)</f>
        <v>0</v>
      </c>
    </row>
    <row r="1958" spans="7:11">
      <c r="G1958">
        <v>39</v>
      </c>
      <c r="H1958">
        <v>5</v>
      </c>
      <c r="I1958" s="2">
        <f>INT(DATE($B$3,1,1) + (39+0.5)*365/50)</f>
        <v>0</v>
      </c>
      <c r="J1958" s="2">
        <f>I1958 - INT(ROUND($B$4 * 30.4375, 0) * (5+0.5)/50)</f>
        <v>0</v>
      </c>
      <c r="K1958" s="4">
        <f>VLOOKUP(J1958, '1_Rate_Changes'!$A$2:$C$100, 3, TRUE)</f>
        <v>0</v>
      </c>
    </row>
    <row r="1959" spans="7:11">
      <c r="G1959">
        <v>39</v>
      </c>
      <c r="H1959">
        <v>6</v>
      </c>
      <c r="I1959" s="2">
        <f>INT(DATE($B$3,1,1) + (39+0.5)*365/50)</f>
        <v>0</v>
      </c>
      <c r="J1959" s="2">
        <f>I1959 - INT(ROUND($B$4 * 30.4375, 0) * (6+0.5)/50)</f>
        <v>0</v>
      </c>
      <c r="K1959" s="4">
        <f>VLOOKUP(J1959, '1_Rate_Changes'!$A$2:$C$100, 3, TRUE)</f>
        <v>0</v>
      </c>
    </row>
    <row r="1960" spans="7:11">
      <c r="G1960">
        <v>39</v>
      </c>
      <c r="H1960">
        <v>7</v>
      </c>
      <c r="I1960" s="2">
        <f>INT(DATE($B$3,1,1) + (39+0.5)*365/50)</f>
        <v>0</v>
      </c>
      <c r="J1960" s="2">
        <f>I1960 - INT(ROUND($B$4 * 30.4375, 0) * (7+0.5)/50)</f>
        <v>0</v>
      </c>
      <c r="K1960" s="4">
        <f>VLOOKUP(J1960, '1_Rate_Changes'!$A$2:$C$100, 3, TRUE)</f>
        <v>0</v>
      </c>
    </row>
    <row r="1961" spans="7:11">
      <c r="G1961">
        <v>39</v>
      </c>
      <c r="H1961">
        <v>8</v>
      </c>
      <c r="I1961" s="2">
        <f>INT(DATE($B$3,1,1) + (39+0.5)*365/50)</f>
        <v>0</v>
      </c>
      <c r="J1961" s="2">
        <f>I1961 - INT(ROUND($B$4 * 30.4375, 0) * (8+0.5)/50)</f>
        <v>0</v>
      </c>
      <c r="K1961" s="4">
        <f>VLOOKUP(J1961, '1_Rate_Changes'!$A$2:$C$100, 3, TRUE)</f>
        <v>0</v>
      </c>
    </row>
    <row r="1962" spans="7:11">
      <c r="G1962">
        <v>39</v>
      </c>
      <c r="H1962">
        <v>9</v>
      </c>
      <c r="I1962" s="2">
        <f>INT(DATE($B$3,1,1) + (39+0.5)*365/50)</f>
        <v>0</v>
      </c>
      <c r="J1962" s="2">
        <f>I1962 - INT(ROUND($B$4 * 30.4375, 0) * (9+0.5)/50)</f>
        <v>0</v>
      </c>
      <c r="K1962" s="4">
        <f>VLOOKUP(J1962, '1_Rate_Changes'!$A$2:$C$100, 3, TRUE)</f>
        <v>0</v>
      </c>
    </row>
    <row r="1963" spans="7:11">
      <c r="G1963">
        <v>39</v>
      </c>
      <c r="H1963">
        <v>10</v>
      </c>
      <c r="I1963" s="2">
        <f>INT(DATE($B$3,1,1) + (39+0.5)*365/50)</f>
        <v>0</v>
      </c>
      <c r="J1963" s="2">
        <f>I1963 - INT(ROUND($B$4 * 30.4375, 0) * (10+0.5)/50)</f>
        <v>0</v>
      </c>
      <c r="K1963" s="4">
        <f>VLOOKUP(J1963, '1_Rate_Changes'!$A$2:$C$100, 3, TRUE)</f>
        <v>0</v>
      </c>
    </row>
    <row r="1964" spans="7:11">
      <c r="G1964">
        <v>39</v>
      </c>
      <c r="H1964">
        <v>11</v>
      </c>
      <c r="I1964" s="2">
        <f>INT(DATE($B$3,1,1) + (39+0.5)*365/50)</f>
        <v>0</v>
      </c>
      <c r="J1964" s="2">
        <f>I1964 - INT(ROUND($B$4 * 30.4375, 0) * (11+0.5)/50)</f>
        <v>0</v>
      </c>
      <c r="K1964" s="4">
        <f>VLOOKUP(J1964, '1_Rate_Changes'!$A$2:$C$100, 3, TRUE)</f>
        <v>0</v>
      </c>
    </row>
    <row r="1965" spans="7:11">
      <c r="G1965">
        <v>39</v>
      </c>
      <c r="H1965">
        <v>12</v>
      </c>
      <c r="I1965" s="2">
        <f>INT(DATE($B$3,1,1) + (39+0.5)*365/50)</f>
        <v>0</v>
      </c>
      <c r="J1965" s="2">
        <f>I1965 - INT(ROUND($B$4 * 30.4375, 0) * (12+0.5)/50)</f>
        <v>0</v>
      </c>
      <c r="K1965" s="4">
        <f>VLOOKUP(J1965, '1_Rate_Changes'!$A$2:$C$100, 3, TRUE)</f>
        <v>0</v>
      </c>
    </row>
    <row r="1966" spans="7:11">
      <c r="G1966">
        <v>39</v>
      </c>
      <c r="H1966">
        <v>13</v>
      </c>
      <c r="I1966" s="2">
        <f>INT(DATE($B$3,1,1) + (39+0.5)*365/50)</f>
        <v>0</v>
      </c>
      <c r="J1966" s="2">
        <f>I1966 - INT(ROUND($B$4 * 30.4375, 0) * (13+0.5)/50)</f>
        <v>0</v>
      </c>
      <c r="K1966" s="4">
        <f>VLOOKUP(J1966, '1_Rate_Changes'!$A$2:$C$100, 3, TRUE)</f>
        <v>0</v>
      </c>
    </row>
    <row r="1967" spans="7:11">
      <c r="G1967">
        <v>39</v>
      </c>
      <c r="H1967">
        <v>14</v>
      </c>
      <c r="I1967" s="2">
        <f>INT(DATE($B$3,1,1) + (39+0.5)*365/50)</f>
        <v>0</v>
      </c>
      <c r="J1967" s="2">
        <f>I1967 - INT(ROUND($B$4 * 30.4375, 0) * (14+0.5)/50)</f>
        <v>0</v>
      </c>
      <c r="K1967" s="4">
        <f>VLOOKUP(J1967, '1_Rate_Changes'!$A$2:$C$100, 3, TRUE)</f>
        <v>0</v>
      </c>
    </row>
    <row r="1968" spans="7:11">
      <c r="G1968">
        <v>39</v>
      </c>
      <c r="H1968">
        <v>15</v>
      </c>
      <c r="I1968" s="2">
        <f>INT(DATE($B$3,1,1) + (39+0.5)*365/50)</f>
        <v>0</v>
      </c>
      <c r="J1968" s="2">
        <f>I1968 - INT(ROUND($B$4 * 30.4375, 0) * (15+0.5)/50)</f>
        <v>0</v>
      </c>
      <c r="K1968" s="4">
        <f>VLOOKUP(J1968, '1_Rate_Changes'!$A$2:$C$100, 3, TRUE)</f>
        <v>0</v>
      </c>
    </row>
    <row r="1969" spans="7:11">
      <c r="G1969">
        <v>39</v>
      </c>
      <c r="H1969">
        <v>16</v>
      </c>
      <c r="I1969" s="2">
        <f>INT(DATE($B$3,1,1) + (39+0.5)*365/50)</f>
        <v>0</v>
      </c>
      <c r="J1969" s="2">
        <f>I1969 - INT(ROUND($B$4 * 30.4375, 0) * (16+0.5)/50)</f>
        <v>0</v>
      </c>
      <c r="K1969" s="4">
        <f>VLOOKUP(J1969, '1_Rate_Changes'!$A$2:$C$100, 3, TRUE)</f>
        <v>0</v>
      </c>
    </row>
    <row r="1970" spans="7:11">
      <c r="G1970">
        <v>39</v>
      </c>
      <c r="H1970">
        <v>17</v>
      </c>
      <c r="I1970" s="2">
        <f>INT(DATE($B$3,1,1) + (39+0.5)*365/50)</f>
        <v>0</v>
      </c>
      <c r="J1970" s="2">
        <f>I1970 - INT(ROUND($B$4 * 30.4375, 0) * (17+0.5)/50)</f>
        <v>0</v>
      </c>
      <c r="K1970" s="4">
        <f>VLOOKUP(J1970, '1_Rate_Changes'!$A$2:$C$100, 3, TRUE)</f>
        <v>0</v>
      </c>
    </row>
    <row r="1971" spans="7:11">
      <c r="G1971">
        <v>39</v>
      </c>
      <c r="H1971">
        <v>18</v>
      </c>
      <c r="I1971" s="2">
        <f>INT(DATE($B$3,1,1) + (39+0.5)*365/50)</f>
        <v>0</v>
      </c>
      <c r="J1971" s="2">
        <f>I1971 - INT(ROUND($B$4 * 30.4375, 0) * (18+0.5)/50)</f>
        <v>0</v>
      </c>
      <c r="K1971" s="4">
        <f>VLOOKUP(J1971, '1_Rate_Changes'!$A$2:$C$100, 3, TRUE)</f>
        <v>0</v>
      </c>
    </row>
    <row r="1972" spans="7:11">
      <c r="G1972">
        <v>39</v>
      </c>
      <c r="H1972">
        <v>19</v>
      </c>
      <c r="I1972" s="2">
        <f>INT(DATE($B$3,1,1) + (39+0.5)*365/50)</f>
        <v>0</v>
      </c>
      <c r="J1972" s="2">
        <f>I1972 - INT(ROUND($B$4 * 30.4375, 0) * (19+0.5)/50)</f>
        <v>0</v>
      </c>
      <c r="K1972" s="4">
        <f>VLOOKUP(J1972, '1_Rate_Changes'!$A$2:$C$100, 3, TRUE)</f>
        <v>0</v>
      </c>
    </row>
    <row r="1973" spans="7:11">
      <c r="G1973">
        <v>39</v>
      </c>
      <c r="H1973">
        <v>20</v>
      </c>
      <c r="I1973" s="2">
        <f>INT(DATE($B$3,1,1) + (39+0.5)*365/50)</f>
        <v>0</v>
      </c>
      <c r="J1973" s="2">
        <f>I1973 - INT(ROUND($B$4 * 30.4375, 0) * (20+0.5)/50)</f>
        <v>0</v>
      </c>
      <c r="K1973" s="4">
        <f>VLOOKUP(J1973, '1_Rate_Changes'!$A$2:$C$100, 3, TRUE)</f>
        <v>0</v>
      </c>
    </row>
    <row r="1974" spans="7:11">
      <c r="G1974">
        <v>39</v>
      </c>
      <c r="H1974">
        <v>21</v>
      </c>
      <c r="I1974" s="2">
        <f>INT(DATE($B$3,1,1) + (39+0.5)*365/50)</f>
        <v>0</v>
      </c>
      <c r="J1974" s="2">
        <f>I1974 - INT(ROUND($B$4 * 30.4375, 0) * (21+0.5)/50)</f>
        <v>0</v>
      </c>
      <c r="K1974" s="4">
        <f>VLOOKUP(J1974, '1_Rate_Changes'!$A$2:$C$100, 3, TRUE)</f>
        <v>0</v>
      </c>
    </row>
    <row r="1975" spans="7:11">
      <c r="G1975">
        <v>39</v>
      </c>
      <c r="H1975">
        <v>22</v>
      </c>
      <c r="I1975" s="2">
        <f>INT(DATE($B$3,1,1) + (39+0.5)*365/50)</f>
        <v>0</v>
      </c>
      <c r="J1975" s="2">
        <f>I1975 - INT(ROUND($B$4 * 30.4375, 0) * (22+0.5)/50)</f>
        <v>0</v>
      </c>
      <c r="K1975" s="4">
        <f>VLOOKUP(J1975, '1_Rate_Changes'!$A$2:$C$100, 3, TRUE)</f>
        <v>0</v>
      </c>
    </row>
    <row r="1976" spans="7:11">
      <c r="G1976">
        <v>39</v>
      </c>
      <c r="H1976">
        <v>23</v>
      </c>
      <c r="I1976" s="2">
        <f>INT(DATE($B$3,1,1) + (39+0.5)*365/50)</f>
        <v>0</v>
      </c>
      <c r="J1976" s="2">
        <f>I1976 - INT(ROUND($B$4 * 30.4375, 0) * (23+0.5)/50)</f>
        <v>0</v>
      </c>
      <c r="K1976" s="4">
        <f>VLOOKUP(J1976, '1_Rate_Changes'!$A$2:$C$100, 3, TRUE)</f>
        <v>0</v>
      </c>
    </row>
    <row r="1977" spans="7:11">
      <c r="G1977">
        <v>39</v>
      </c>
      <c r="H1977">
        <v>24</v>
      </c>
      <c r="I1977" s="2">
        <f>INT(DATE($B$3,1,1) + (39+0.5)*365/50)</f>
        <v>0</v>
      </c>
      <c r="J1977" s="2">
        <f>I1977 - INT(ROUND($B$4 * 30.4375, 0) * (24+0.5)/50)</f>
        <v>0</v>
      </c>
      <c r="K1977" s="4">
        <f>VLOOKUP(J1977, '1_Rate_Changes'!$A$2:$C$100, 3, TRUE)</f>
        <v>0</v>
      </c>
    </row>
    <row r="1978" spans="7:11">
      <c r="G1978">
        <v>39</v>
      </c>
      <c r="H1978">
        <v>25</v>
      </c>
      <c r="I1978" s="2">
        <f>INT(DATE($B$3,1,1) + (39+0.5)*365/50)</f>
        <v>0</v>
      </c>
      <c r="J1978" s="2">
        <f>I1978 - INT(ROUND($B$4 * 30.4375, 0) * (25+0.5)/50)</f>
        <v>0</v>
      </c>
      <c r="K1978" s="4">
        <f>VLOOKUP(J1978, '1_Rate_Changes'!$A$2:$C$100, 3, TRUE)</f>
        <v>0</v>
      </c>
    </row>
    <row r="1979" spans="7:11">
      <c r="G1979">
        <v>39</v>
      </c>
      <c r="H1979">
        <v>26</v>
      </c>
      <c r="I1979" s="2">
        <f>INT(DATE($B$3,1,1) + (39+0.5)*365/50)</f>
        <v>0</v>
      </c>
      <c r="J1979" s="2">
        <f>I1979 - INT(ROUND($B$4 * 30.4375, 0) * (26+0.5)/50)</f>
        <v>0</v>
      </c>
      <c r="K1979" s="4">
        <f>VLOOKUP(J1979, '1_Rate_Changes'!$A$2:$C$100, 3, TRUE)</f>
        <v>0</v>
      </c>
    </row>
    <row r="1980" spans="7:11">
      <c r="G1980">
        <v>39</v>
      </c>
      <c r="H1980">
        <v>27</v>
      </c>
      <c r="I1980" s="2">
        <f>INT(DATE($B$3,1,1) + (39+0.5)*365/50)</f>
        <v>0</v>
      </c>
      <c r="J1980" s="2">
        <f>I1980 - INT(ROUND($B$4 * 30.4375, 0) * (27+0.5)/50)</f>
        <v>0</v>
      </c>
      <c r="K1980" s="4">
        <f>VLOOKUP(J1980, '1_Rate_Changes'!$A$2:$C$100, 3, TRUE)</f>
        <v>0</v>
      </c>
    </row>
    <row r="1981" spans="7:11">
      <c r="G1981">
        <v>39</v>
      </c>
      <c r="H1981">
        <v>28</v>
      </c>
      <c r="I1981" s="2">
        <f>INT(DATE($B$3,1,1) + (39+0.5)*365/50)</f>
        <v>0</v>
      </c>
      <c r="J1981" s="2">
        <f>I1981 - INT(ROUND($B$4 * 30.4375, 0) * (28+0.5)/50)</f>
        <v>0</v>
      </c>
      <c r="K1981" s="4">
        <f>VLOOKUP(J1981, '1_Rate_Changes'!$A$2:$C$100, 3, TRUE)</f>
        <v>0</v>
      </c>
    </row>
    <row r="1982" spans="7:11">
      <c r="G1982">
        <v>39</v>
      </c>
      <c r="H1982">
        <v>29</v>
      </c>
      <c r="I1982" s="2">
        <f>INT(DATE($B$3,1,1) + (39+0.5)*365/50)</f>
        <v>0</v>
      </c>
      <c r="J1982" s="2">
        <f>I1982 - INT(ROUND($B$4 * 30.4375, 0) * (29+0.5)/50)</f>
        <v>0</v>
      </c>
      <c r="K1982" s="4">
        <f>VLOOKUP(J1982, '1_Rate_Changes'!$A$2:$C$100, 3, TRUE)</f>
        <v>0</v>
      </c>
    </row>
    <row r="1983" spans="7:11">
      <c r="G1983">
        <v>39</v>
      </c>
      <c r="H1983">
        <v>30</v>
      </c>
      <c r="I1983" s="2">
        <f>INT(DATE($B$3,1,1) + (39+0.5)*365/50)</f>
        <v>0</v>
      </c>
      <c r="J1983" s="2">
        <f>I1983 - INT(ROUND($B$4 * 30.4375, 0) * (30+0.5)/50)</f>
        <v>0</v>
      </c>
      <c r="K1983" s="4">
        <f>VLOOKUP(J1983, '1_Rate_Changes'!$A$2:$C$100, 3, TRUE)</f>
        <v>0</v>
      </c>
    </row>
    <row r="1984" spans="7:11">
      <c r="G1984">
        <v>39</v>
      </c>
      <c r="H1984">
        <v>31</v>
      </c>
      <c r="I1984" s="2">
        <f>INT(DATE($B$3,1,1) + (39+0.5)*365/50)</f>
        <v>0</v>
      </c>
      <c r="J1984" s="2">
        <f>I1984 - INT(ROUND($B$4 * 30.4375, 0) * (31+0.5)/50)</f>
        <v>0</v>
      </c>
      <c r="K1984" s="4">
        <f>VLOOKUP(J1984, '1_Rate_Changes'!$A$2:$C$100, 3, TRUE)</f>
        <v>0</v>
      </c>
    </row>
    <row r="1985" spans="7:11">
      <c r="G1985">
        <v>39</v>
      </c>
      <c r="H1985">
        <v>32</v>
      </c>
      <c r="I1985" s="2">
        <f>INT(DATE($B$3,1,1) + (39+0.5)*365/50)</f>
        <v>0</v>
      </c>
      <c r="J1985" s="2">
        <f>I1985 - INT(ROUND($B$4 * 30.4375, 0) * (32+0.5)/50)</f>
        <v>0</v>
      </c>
      <c r="K1985" s="4">
        <f>VLOOKUP(J1985, '1_Rate_Changes'!$A$2:$C$100, 3, TRUE)</f>
        <v>0</v>
      </c>
    </row>
    <row r="1986" spans="7:11">
      <c r="G1986">
        <v>39</v>
      </c>
      <c r="H1986">
        <v>33</v>
      </c>
      <c r="I1986" s="2">
        <f>INT(DATE($B$3,1,1) + (39+0.5)*365/50)</f>
        <v>0</v>
      </c>
      <c r="J1986" s="2">
        <f>I1986 - INT(ROUND($B$4 * 30.4375, 0) * (33+0.5)/50)</f>
        <v>0</v>
      </c>
      <c r="K1986" s="4">
        <f>VLOOKUP(J1986, '1_Rate_Changes'!$A$2:$C$100, 3, TRUE)</f>
        <v>0</v>
      </c>
    </row>
    <row r="1987" spans="7:11">
      <c r="G1987">
        <v>39</v>
      </c>
      <c r="H1987">
        <v>34</v>
      </c>
      <c r="I1987" s="2">
        <f>INT(DATE($B$3,1,1) + (39+0.5)*365/50)</f>
        <v>0</v>
      </c>
      <c r="J1987" s="2">
        <f>I1987 - INT(ROUND($B$4 * 30.4375, 0) * (34+0.5)/50)</f>
        <v>0</v>
      </c>
      <c r="K1987" s="4">
        <f>VLOOKUP(J1987, '1_Rate_Changes'!$A$2:$C$100, 3, TRUE)</f>
        <v>0</v>
      </c>
    </row>
    <row r="1988" spans="7:11">
      <c r="G1988">
        <v>39</v>
      </c>
      <c r="H1988">
        <v>35</v>
      </c>
      <c r="I1988" s="2">
        <f>INT(DATE($B$3,1,1) + (39+0.5)*365/50)</f>
        <v>0</v>
      </c>
      <c r="J1988" s="2">
        <f>I1988 - INT(ROUND($B$4 * 30.4375, 0) * (35+0.5)/50)</f>
        <v>0</v>
      </c>
      <c r="K1988" s="4">
        <f>VLOOKUP(J1988, '1_Rate_Changes'!$A$2:$C$100, 3, TRUE)</f>
        <v>0</v>
      </c>
    </row>
    <row r="1989" spans="7:11">
      <c r="G1989">
        <v>39</v>
      </c>
      <c r="H1989">
        <v>36</v>
      </c>
      <c r="I1989" s="2">
        <f>INT(DATE($B$3,1,1) + (39+0.5)*365/50)</f>
        <v>0</v>
      </c>
      <c r="J1989" s="2">
        <f>I1989 - INT(ROUND($B$4 * 30.4375, 0) * (36+0.5)/50)</f>
        <v>0</v>
      </c>
      <c r="K1989" s="4">
        <f>VLOOKUP(J1989, '1_Rate_Changes'!$A$2:$C$100, 3, TRUE)</f>
        <v>0</v>
      </c>
    </row>
    <row r="1990" spans="7:11">
      <c r="G1990">
        <v>39</v>
      </c>
      <c r="H1990">
        <v>37</v>
      </c>
      <c r="I1990" s="2">
        <f>INT(DATE($B$3,1,1) + (39+0.5)*365/50)</f>
        <v>0</v>
      </c>
      <c r="J1990" s="2">
        <f>I1990 - INT(ROUND($B$4 * 30.4375, 0) * (37+0.5)/50)</f>
        <v>0</v>
      </c>
      <c r="K1990" s="4">
        <f>VLOOKUP(J1990, '1_Rate_Changes'!$A$2:$C$100, 3, TRUE)</f>
        <v>0</v>
      </c>
    </row>
    <row r="1991" spans="7:11">
      <c r="G1991">
        <v>39</v>
      </c>
      <c r="H1991">
        <v>38</v>
      </c>
      <c r="I1991" s="2">
        <f>INT(DATE($B$3,1,1) + (39+0.5)*365/50)</f>
        <v>0</v>
      </c>
      <c r="J1991" s="2">
        <f>I1991 - INT(ROUND($B$4 * 30.4375, 0) * (38+0.5)/50)</f>
        <v>0</v>
      </c>
      <c r="K1991" s="4">
        <f>VLOOKUP(J1991, '1_Rate_Changes'!$A$2:$C$100, 3, TRUE)</f>
        <v>0</v>
      </c>
    </row>
    <row r="1992" spans="7:11">
      <c r="G1992">
        <v>39</v>
      </c>
      <c r="H1992">
        <v>39</v>
      </c>
      <c r="I1992" s="2">
        <f>INT(DATE($B$3,1,1) + (39+0.5)*365/50)</f>
        <v>0</v>
      </c>
      <c r="J1992" s="2">
        <f>I1992 - INT(ROUND($B$4 * 30.4375, 0) * (39+0.5)/50)</f>
        <v>0</v>
      </c>
      <c r="K1992" s="4">
        <f>VLOOKUP(J1992, '1_Rate_Changes'!$A$2:$C$100, 3, TRUE)</f>
        <v>0</v>
      </c>
    </row>
    <row r="1993" spans="7:11">
      <c r="G1993">
        <v>39</v>
      </c>
      <c r="H1993">
        <v>40</v>
      </c>
      <c r="I1993" s="2">
        <f>INT(DATE($B$3,1,1) + (39+0.5)*365/50)</f>
        <v>0</v>
      </c>
      <c r="J1993" s="2">
        <f>I1993 - INT(ROUND($B$4 * 30.4375, 0) * (40+0.5)/50)</f>
        <v>0</v>
      </c>
      <c r="K1993" s="4">
        <f>VLOOKUP(J1993, '1_Rate_Changes'!$A$2:$C$100, 3, TRUE)</f>
        <v>0</v>
      </c>
    </row>
    <row r="1994" spans="7:11">
      <c r="G1994">
        <v>39</v>
      </c>
      <c r="H1994">
        <v>41</v>
      </c>
      <c r="I1994" s="2">
        <f>INT(DATE($B$3,1,1) + (39+0.5)*365/50)</f>
        <v>0</v>
      </c>
      <c r="J1994" s="2">
        <f>I1994 - INT(ROUND($B$4 * 30.4375, 0) * (41+0.5)/50)</f>
        <v>0</v>
      </c>
      <c r="K1994" s="4">
        <f>VLOOKUP(J1994, '1_Rate_Changes'!$A$2:$C$100, 3, TRUE)</f>
        <v>0</v>
      </c>
    </row>
    <row r="1995" spans="7:11">
      <c r="G1995">
        <v>39</v>
      </c>
      <c r="H1995">
        <v>42</v>
      </c>
      <c r="I1995" s="2">
        <f>INT(DATE($B$3,1,1) + (39+0.5)*365/50)</f>
        <v>0</v>
      </c>
      <c r="J1995" s="2">
        <f>I1995 - INT(ROUND($B$4 * 30.4375, 0) * (42+0.5)/50)</f>
        <v>0</v>
      </c>
      <c r="K1995" s="4">
        <f>VLOOKUP(J1995, '1_Rate_Changes'!$A$2:$C$100, 3, TRUE)</f>
        <v>0</v>
      </c>
    </row>
    <row r="1996" spans="7:11">
      <c r="G1996">
        <v>39</v>
      </c>
      <c r="H1996">
        <v>43</v>
      </c>
      <c r="I1996" s="2">
        <f>INT(DATE($B$3,1,1) + (39+0.5)*365/50)</f>
        <v>0</v>
      </c>
      <c r="J1996" s="2">
        <f>I1996 - INT(ROUND($B$4 * 30.4375, 0) * (43+0.5)/50)</f>
        <v>0</v>
      </c>
      <c r="K1996" s="4">
        <f>VLOOKUP(J1996, '1_Rate_Changes'!$A$2:$C$100, 3, TRUE)</f>
        <v>0</v>
      </c>
    </row>
    <row r="1997" spans="7:11">
      <c r="G1997">
        <v>39</v>
      </c>
      <c r="H1997">
        <v>44</v>
      </c>
      <c r="I1997" s="2">
        <f>INT(DATE($B$3,1,1) + (39+0.5)*365/50)</f>
        <v>0</v>
      </c>
      <c r="J1997" s="2">
        <f>I1997 - INT(ROUND($B$4 * 30.4375, 0) * (44+0.5)/50)</f>
        <v>0</v>
      </c>
      <c r="K1997" s="4">
        <f>VLOOKUP(J1997, '1_Rate_Changes'!$A$2:$C$100, 3, TRUE)</f>
        <v>0</v>
      </c>
    </row>
    <row r="1998" spans="7:11">
      <c r="G1998">
        <v>39</v>
      </c>
      <c r="H1998">
        <v>45</v>
      </c>
      <c r="I1998" s="2">
        <f>INT(DATE($B$3,1,1) + (39+0.5)*365/50)</f>
        <v>0</v>
      </c>
      <c r="J1998" s="2">
        <f>I1998 - INT(ROUND($B$4 * 30.4375, 0) * (45+0.5)/50)</f>
        <v>0</v>
      </c>
      <c r="K1998" s="4">
        <f>VLOOKUP(J1998, '1_Rate_Changes'!$A$2:$C$100, 3, TRUE)</f>
        <v>0</v>
      </c>
    </row>
    <row r="1999" spans="7:11">
      <c r="G1999">
        <v>39</v>
      </c>
      <c r="H1999">
        <v>46</v>
      </c>
      <c r="I1999" s="2">
        <f>INT(DATE($B$3,1,1) + (39+0.5)*365/50)</f>
        <v>0</v>
      </c>
      <c r="J1999" s="2">
        <f>I1999 - INT(ROUND($B$4 * 30.4375, 0) * (46+0.5)/50)</f>
        <v>0</v>
      </c>
      <c r="K1999" s="4">
        <f>VLOOKUP(J1999, '1_Rate_Changes'!$A$2:$C$100, 3, TRUE)</f>
        <v>0</v>
      </c>
    </row>
    <row r="2000" spans="7:11">
      <c r="G2000">
        <v>39</v>
      </c>
      <c r="H2000">
        <v>47</v>
      </c>
      <c r="I2000" s="2">
        <f>INT(DATE($B$3,1,1) + (39+0.5)*365/50)</f>
        <v>0</v>
      </c>
      <c r="J2000" s="2">
        <f>I2000 - INT(ROUND($B$4 * 30.4375, 0) * (47+0.5)/50)</f>
        <v>0</v>
      </c>
      <c r="K2000" s="4">
        <f>VLOOKUP(J2000, '1_Rate_Changes'!$A$2:$C$100, 3, TRUE)</f>
        <v>0</v>
      </c>
    </row>
    <row r="2001" spans="7:11">
      <c r="G2001">
        <v>39</v>
      </c>
      <c r="H2001">
        <v>48</v>
      </c>
      <c r="I2001" s="2">
        <f>INT(DATE($B$3,1,1) + (39+0.5)*365/50)</f>
        <v>0</v>
      </c>
      <c r="J2001" s="2">
        <f>I2001 - INT(ROUND($B$4 * 30.4375, 0) * (48+0.5)/50)</f>
        <v>0</v>
      </c>
      <c r="K2001" s="4">
        <f>VLOOKUP(J2001, '1_Rate_Changes'!$A$2:$C$100, 3, TRUE)</f>
        <v>0</v>
      </c>
    </row>
    <row r="2002" spans="7:11">
      <c r="G2002">
        <v>39</v>
      </c>
      <c r="H2002">
        <v>49</v>
      </c>
      <c r="I2002" s="2">
        <f>INT(DATE($B$3,1,1) + (39+0.5)*365/50)</f>
        <v>0</v>
      </c>
      <c r="J2002" s="2">
        <f>I2002 - INT(ROUND($B$4 * 30.4375, 0) * (49+0.5)/50)</f>
        <v>0</v>
      </c>
      <c r="K2002" s="4">
        <f>VLOOKUP(J2002, '1_Rate_Changes'!$A$2:$C$100, 3, TRUE)</f>
        <v>0</v>
      </c>
    </row>
    <row r="2003" spans="7:11">
      <c r="G2003">
        <v>40</v>
      </c>
      <c r="H2003">
        <v>0</v>
      </c>
      <c r="I2003" s="2">
        <f>INT(DATE($B$3,1,1) + (40+0.5)*365/50)</f>
        <v>0</v>
      </c>
      <c r="J2003" s="2">
        <f>I2003 - INT(ROUND($B$4 * 30.4375, 0) * (0+0.5)/50)</f>
        <v>0</v>
      </c>
      <c r="K2003" s="4">
        <f>VLOOKUP(J2003, '1_Rate_Changes'!$A$2:$C$100, 3, TRUE)</f>
        <v>0</v>
      </c>
    </row>
    <row r="2004" spans="7:11">
      <c r="G2004">
        <v>40</v>
      </c>
      <c r="H2004">
        <v>1</v>
      </c>
      <c r="I2004" s="2">
        <f>INT(DATE($B$3,1,1) + (40+0.5)*365/50)</f>
        <v>0</v>
      </c>
      <c r="J2004" s="2">
        <f>I2004 - INT(ROUND($B$4 * 30.4375, 0) * (1+0.5)/50)</f>
        <v>0</v>
      </c>
      <c r="K2004" s="4">
        <f>VLOOKUP(J2004, '1_Rate_Changes'!$A$2:$C$100, 3, TRUE)</f>
        <v>0</v>
      </c>
    </row>
    <row r="2005" spans="7:11">
      <c r="G2005">
        <v>40</v>
      </c>
      <c r="H2005">
        <v>2</v>
      </c>
      <c r="I2005" s="2">
        <f>INT(DATE($B$3,1,1) + (40+0.5)*365/50)</f>
        <v>0</v>
      </c>
      <c r="J2005" s="2">
        <f>I2005 - INT(ROUND($B$4 * 30.4375, 0) * (2+0.5)/50)</f>
        <v>0</v>
      </c>
      <c r="K2005" s="4">
        <f>VLOOKUP(J2005, '1_Rate_Changes'!$A$2:$C$100, 3, TRUE)</f>
        <v>0</v>
      </c>
    </row>
    <row r="2006" spans="7:11">
      <c r="G2006">
        <v>40</v>
      </c>
      <c r="H2006">
        <v>3</v>
      </c>
      <c r="I2006" s="2">
        <f>INT(DATE($B$3,1,1) + (40+0.5)*365/50)</f>
        <v>0</v>
      </c>
      <c r="J2006" s="2">
        <f>I2006 - INT(ROUND($B$4 * 30.4375, 0) * (3+0.5)/50)</f>
        <v>0</v>
      </c>
      <c r="K2006" s="4">
        <f>VLOOKUP(J2006, '1_Rate_Changes'!$A$2:$C$100, 3, TRUE)</f>
        <v>0</v>
      </c>
    </row>
    <row r="2007" spans="7:11">
      <c r="G2007">
        <v>40</v>
      </c>
      <c r="H2007">
        <v>4</v>
      </c>
      <c r="I2007" s="2">
        <f>INT(DATE($B$3,1,1) + (40+0.5)*365/50)</f>
        <v>0</v>
      </c>
      <c r="J2007" s="2">
        <f>I2007 - INT(ROUND($B$4 * 30.4375, 0) * (4+0.5)/50)</f>
        <v>0</v>
      </c>
      <c r="K2007" s="4">
        <f>VLOOKUP(J2007, '1_Rate_Changes'!$A$2:$C$100, 3, TRUE)</f>
        <v>0</v>
      </c>
    </row>
    <row r="2008" spans="7:11">
      <c r="G2008">
        <v>40</v>
      </c>
      <c r="H2008">
        <v>5</v>
      </c>
      <c r="I2008" s="2">
        <f>INT(DATE($B$3,1,1) + (40+0.5)*365/50)</f>
        <v>0</v>
      </c>
      <c r="J2008" s="2">
        <f>I2008 - INT(ROUND($B$4 * 30.4375, 0) * (5+0.5)/50)</f>
        <v>0</v>
      </c>
      <c r="K2008" s="4">
        <f>VLOOKUP(J2008, '1_Rate_Changes'!$A$2:$C$100, 3, TRUE)</f>
        <v>0</v>
      </c>
    </row>
    <row r="2009" spans="7:11">
      <c r="G2009">
        <v>40</v>
      </c>
      <c r="H2009">
        <v>6</v>
      </c>
      <c r="I2009" s="2">
        <f>INT(DATE($B$3,1,1) + (40+0.5)*365/50)</f>
        <v>0</v>
      </c>
      <c r="J2009" s="2">
        <f>I2009 - INT(ROUND($B$4 * 30.4375, 0) * (6+0.5)/50)</f>
        <v>0</v>
      </c>
      <c r="K2009" s="4">
        <f>VLOOKUP(J2009, '1_Rate_Changes'!$A$2:$C$100, 3, TRUE)</f>
        <v>0</v>
      </c>
    </row>
    <row r="2010" spans="7:11">
      <c r="G2010">
        <v>40</v>
      </c>
      <c r="H2010">
        <v>7</v>
      </c>
      <c r="I2010" s="2">
        <f>INT(DATE($B$3,1,1) + (40+0.5)*365/50)</f>
        <v>0</v>
      </c>
      <c r="J2010" s="2">
        <f>I2010 - INT(ROUND($B$4 * 30.4375, 0) * (7+0.5)/50)</f>
        <v>0</v>
      </c>
      <c r="K2010" s="4">
        <f>VLOOKUP(J2010, '1_Rate_Changes'!$A$2:$C$100, 3, TRUE)</f>
        <v>0</v>
      </c>
    </row>
    <row r="2011" spans="7:11">
      <c r="G2011">
        <v>40</v>
      </c>
      <c r="H2011">
        <v>8</v>
      </c>
      <c r="I2011" s="2">
        <f>INT(DATE($B$3,1,1) + (40+0.5)*365/50)</f>
        <v>0</v>
      </c>
      <c r="J2011" s="2">
        <f>I2011 - INT(ROUND($B$4 * 30.4375, 0) * (8+0.5)/50)</f>
        <v>0</v>
      </c>
      <c r="K2011" s="4">
        <f>VLOOKUP(J2011, '1_Rate_Changes'!$A$2:$C$100, 3, TRUE)</f>
        <v>0</v>
      </c>
    </row>
    <row r="2012" spans="7:11">
      <c r="G2012">
        <v>40</v>
      </c>
      <c r="H2012">
        <v>9</v>
      </c>
      <c r="I2012" s="2">
        <f>INT(DATE($B$3,1,1) + (40+0.5)*365/50)</f>
        <v>0</v>
      </c>
      <c r="J2012" s="2">
        <f>I2012 - INT(ROUND($B$4 * 30.4375, 0) * (9+0.5)/50)</f>
        <v>0</v>
      </c>
      <c r="K2012" s="4">
        <f>VLOOKUP(J2012, '1_Rate_Changes'!$A$2:$C$100, 3, TRUE)</f>
        <v>0</v>
      </c>
    </row>
    <row r="2013" spans="7:11">
      <c r="G2013">
        <v>40</v>
      </c>
      <c r="H2013">
        <v>10</v>
      </c>
      <c r="I2013" s="2">
        <f>INT(DATE($B$3,1,1) + (40+0.5)*365/50)</f>
        <v>0</v>
      </c>
      <c r="J2013" s="2">
        <f>I2013 - INT(ROUND($B$4 * 30.4375, 0) * (10+0.5)/50)</f>
        <v>0</v>
      </c>
      <c r="K2013" s="4">
        <f>VLOOKUP(J2013, '1_Rate_Changes'!$A$2:$C$100, 3, TRUE)</f>
        <v>0</v>
      </c>
    </row>
    <row r="2014" spans="7:11">
      <c r="G2014">
        <v>40</v>
      </c>
      <c r="H2014">
        <v>11</v>
      </c>
      <c r="I2014" s="2">
        <f>INT(DATE($B$3,1,1) + (40+0.5)*365/50)</f>
        <v>0</v>
      </c>
      <c r="J2014" s="2">
        <f>I2014 - INT(ROUND($B$4 * 30.4375, 0) * (11+0.5)/50)</f>
        <v>0</v>
      </c>
      <c r="K2014" s="4">
        <f>VLOOKUP(J2014, '1_Rate_Changes'!$A$2:$C$100, 3, TRUE)</f>
        <v>0</v>
      </c>
    </row>
    <row r="2015" spans="7:11">
      <c r="G2015">
        <v>40</v>
      </c>
      <c r="H2015">
        <v>12</v>
      </c>
      <c r="I2015" s="2">
        <f>INT(DATE($B$3,1,1) + (40+0.5)*365/50)</f>
        <v>0</v>
      </c>
      <c r="J2015" s="2">
        <f>I2015 - INT(ROUND($B$4 * 30.4375, 0) * (12+0.5)/50)</f>
        <v>0</v>
      </c>
      <c r="K2015" s="4">
        <f>VLOOKUP(J2015, '1_Rate_Changes'!$A$2:$C$100, 3, TRUE)</f>
        <v>0</v>
      </c>
    </row>
    <row r="2016" spans="7:11">
      <c r="G2016">
        <v>40</v>
      </c>
      <c r="H2016">
        <v>13</v>
      </c>
      <c r="I2016" s="2">
        <f>INT(DATE($B$3,1,1) + (40+0.5)*365/50)</f>
        <v>0</v>
      </c>
      <c r="J2016" s="2">
        <f>I2016 - INT(ROUND($B$4 * 30.4375, 0) * (13+0.5)/50)</f>
        <v>0</v>
      </c>
      <c r="K2016" s="4">
        <f>VLOOKUP(J2016, '1_Rate_Changes'!$A$2:$C$100, 3, TRUE)</f>
        <v>0</v>
      </c>
    </row>
    <row r="2017" spans="7:11">
      <c r="G2017">
        <v>40</v>
      </c>
      <c r="H2017">
        <v>14</v>
      </c>
      <c r="I2017" s="2">
        <f>INT(DATE($B$3,1,1) + (40+0.5)*365/50)</f>
        <v>0</v>
      </c>
      <c r="J2017" s="2">
        <f>I2017 - INT(ROUND($B$4 * 30.4375, 0) * (14+0.5)/50)</f>
        <v>0</v>
      </c>
      <c r="K2017" s="4">
        <f>VLOOKUP(J2017, '1_Rate_Changes'!$A$2:$C$100, 3, TRUE)</f>
        <v>0</v>
      </c>
    </row>
    <row r="2018" spans="7:11">
      <c r="G2018">
        <v>40</v>
      </c>
      <c r="H2018">
        <v>15</v>
      </c>
      <c r="I2018" s="2">
        <f>INT(DATE($B$3,1,1) + (40+0.5)*365/50)</f>
        <v>0</v>
      </c>
      <c r="J2018" s="2">
        <f>I2018 - INT(ROUND($B$4 * 30.4375, 0) * (15+0.5)/50)</f>
        <v>0</v>
      </c>
      <c r="K2018" s="4">
        <f>VLOOKUP(J2018, '1_Rate_Changes'!$A$2:$C$100, 3, TRUE)</f>
        <v>0</v>
      </c>
    </row>
    <row r="2019" spans="7:11">
      <c r="G2019">
        <v>40</v>
      </c>
      <c r="H2019">
        <v>16</v>
      </c>
      <c r="I2019" s="2">
        <f>INT(DATE($B$3,1,1) + (40+0.5)*365/50)</f>
        <v>0</v>
      </c>
      <c r="J2019" s="2">
        <f>I2019 - INT(ROUND($B$4 * 30.4375, 0) * (16+0.5)/50)</f>
        <v>0</v>
      </c>
      <c r="K2019" s="4">
        <f>VLOOKUP(J2019, '1_Rate_Changes'!$A$2:$C$100, 3, TRUE)</f>
        <v>0</v>
      </c>
    </row>
    <row r="2020" spans="7:11">
      <c r="G2020">
        <v>40</v>
      </c>
      <c r="H2020">
        <v>17</v>
      </c>
      <c r="I2020" s="2">
        <f>INT(DATE($B$3,1,1) + (40+0.5)*365/50)</f>
        <v>0</v>
      </c>
      <c r="J2020" s="2">
        <f>I2020 - INT(ROUND($B$4 * 30.4375, 0) * (17+0.5)/50)</f>
        <v>0</v>
      </c>
      <c r="K2020" s="4">
        <f>VLOOKUP(J2020, '1_Rate_Changes'!$A$2:$C$100, 3, TRUE)</f>
        <v>0</v>
      </c>
    </row>
    <row r="2021" spans="7:11">
      <c r="G2021">
        <v>40</v>
      </c>
      <c r="H2021">
        <v>18</v>
      </c>
      <c r="I2021" s="2">
        <f>INT(DATE($B$3,1,1) + (40+0.5)*365/50)</f>
        <v>0</v>
      </c>
      <c r="J2021" s="2">
        <f>I2021 - INT(ROUND($B$4 * 30.4375, 0) * (18+0.5)/50)</f>
        <v>0</v>
      </c>
      <c r="K2021" s="4">
        <f>VLOOKUP(J2021, '1_Rate_Changes'!$A$2:$C$100, 3, TRUE)</f>
        <v>0</v>
      </c>
    </row>
    <row r="2022" spans="7:11">
      <c r="G2022">
        <v>40</v>
      </c>
      <c r="H2022">
        <v>19</v>
      </c>
      <c r="I2022" s="2">
        <f>INT(DATE($B$3,1,1) + (40+0.5)*365/50)</f>
        <v>0</v>
      </c>
      <c r="J2022" s="2">
        <f>I2022 - INT(ROUND($B$4 * 30.4375, 0) * (19+0.5)/50)</f>
        <v>0</v>
      </c>
      <c r="K2022" s="4">
        <f>VLOOKUP(J2022, '1_Rate_Changes'!$A$2:$C$100, 3, TRUE)</f>
        <v>0</v>
      </c>
    </row>
    <row r="2023" spans="7:11">
      <c r="G2023">
        <v>40</v>
      </c>
      <c r="H2023">
        <v>20</v>
      </c>
      <c r="I2023" s="2">
        <f>INT(DATE($B$3,1,1) + (40+0.5)*365/50)</f>
        <v>0</v>
      </c>
      <c r="J2023" s="2">
        <f>I2023 - INT(ROUND($B$4 * 30.4375, 0) * (20+0.5)/50)</f>
        <v>0</v>
      </c>
      <c r="K2023" s="4">
        <f>VLOOKUP(J2023, '1_Rate_Changes'!$A$2:$C$100, 3, TRUE)</f>
        <v>0</v>
      </c>
    </row>
    <row r="2024" spans="7:11">
      <c r="G2024">
        <v>40</v>
      </c>
      <c r="H2024">
        <v>21</v>
      </c>
      <c r="I2024" s="2">
        <f>INT(DATE($B$3,1,1) + (40+0.5)*365/50)</f>
        <v>0</v>
      </c>
      <c r="J2024" s="2">
        <f>I2024 - INT(ROUND($B$4 * 30.4375, 0) * (21+0.5)/50)</f>
        <v>0</v>
      </c>
      <c r="K2024" s="4">
        <f>VLOOKUP(J2024, '1_Rate_Changes'!$A$2:$C$100, 3, TRUE)</f>
        <v>0</v>
      </c>
    </row>
    <row r="2025" spans="7:11">
      <c r="G2025">
        <v>40</v>
      </c>
      <c r="H2025">
        <v>22</v>
      </c>
      <c r="I2025" s="2">
        <f>INT(DATE($B$3,1,1) + (40+0.5)*365/50)</f>
        <v>0</v>
      </c>
      <c r="J2025" s="2">
        <f>I2025 - INT(ROUND($B$4 * 30.4375, 0) * (22+0.5)/50)</f>
        <v>0</v>
      </c>
      <c r="K2025" s="4">
        <f>VLOOKUP(J2025, '1_Rate_Changes'!$A$2:$C$100, 3, TRUE)</f>
        <v>0</v>
      </c>
    </row>
    <row r="2026" spans="7:11">
      <c r="G2026">
        <v>40</v>
      </c>
      <c r="H2026">
        <v>23</v>
      </c>
      <c r="I2026" s="2">
        <f>INT(DATE($B$3,1,1) + (40+0.5)*365/50)</f>
        <v>0</v>
      </c>
      <c r="J2026" s="2">
        <f>I2026 - INT(ROUND($B$4 * 30.4375, 0) * (23+0.5)/50)</f>
        <v>0</v>
      </c>
      <c r="K2026" s="4">
        <f>VLOOKUP(J2026, '1_Rate_Changes'!$A$2:$C$100, 3, TRUE)</f>
        <v>0</v>
      </c>
    </row>
    <row r="2027" spans="7:11">
      <c r="G2027">
        <v>40</v>
      </c>
      <c r="H2027">
        <v>24</v>
      </c>
      <c r="I2027" s="2">
        <f>INT(DATE($B$3,1,1) + (40+0.5)*365/50)</f>
        <v>0</v>
      </c>
      <c r="J2027" s="2">
        <f>I2027 - INT(ROUND($B$4 * 30.4375, 0) * (24+0.5)/50)</f>
        <v>0</v>
      </c>
      <c r="K2027" s="4">
        <f>VLOOKUP(J2027, '1_Rate_Changes'!$A$2:$C$100, 3, TRUE)</f>
        <v>0</v>
      </c>
    </row>
    <row r="2028" spans="7:11">
      <c r="G2028">
        <v>40</v>
      </c>
      <c r="H2028">
        <v>25</v>
      </c>
      <c r="I2028" s="2">
        <f>INT(DATE($B$3,1,1) + (40+0.5)*365/50)</f>
        <v>0</v>
      </c>
      <c r="J2028" s="2">
        <f>I2028 - INT(ROUND($B$4 * 30.4375, 0) * (25+0.5)/50)</f>
        <v>0</v>
      </c>
      <c r="K2028" s="4">
        <f>VLOOKUP(J2028, '1_Rate_Changes'!$A$2:$C$100, 3, TRUE)</f>
        <v>0</v>
      </c>
    </row>
    <row r="2029" spans="7:11">
      <c r="G2029">
        <v>40</v>
      </c>
      <c r="H2029">
        <v>26</v>
      </c>
      <c r="I2029" s="2">
        <f>INT(DATE($B$3,1,1) + (40+0.5)*365/50)</f>
        <v>0</v>
      </c>
      <c r="J2029" s="2">
        <f>I2029 - INT(ROUND($B$4 * 30.4375, 0) * (26+0.5)/50)</f>
        <v>0</v>
      </c>
      <c r="K2029" s="4">
        <f>VLOOKUP(J2029, '1_Rate_Changes'!$A$2:$C$100, 3, TRUE)</f>
        <v>0</v>
      </c>
    </row>
    <row r="2030" spans="7:11">
      <c r="G2030">
        <v>40</v>
      </c>
      <c r="H2030">
        <v>27</v>
      </c>
      <c r="I2030" s="2">
        <f>INT(DATE($B$3,1,1) + (40+0.5)*365/50)</f>
        <v>0</v>
      </c>
      <c r="J2030" s="2">
        <f>I2030 - INT(ROUND($B$4 * 30.4375, 0) * (27+0.5)/50)</f>
        <v>0</v>
      </c>
      <c r="K2030" s="4">
        <f>VLOOKUP(J2030, '1_Rate_Changes'!$A$2:$C$100, 3, TRUE)</f>
        <v>0</v>
      </c>
    </row>
    <row r="2031" spans="7:11">
      <c r="G2031">
        <v>40</v>
      </c>
      <c r="H2031">
        <v>28</v>
      </c>
      <c r="I2031" s="2">
        <f>INT(DATE($B$3,1,1) + (40+0.5)*365/50)</f>
        <v>0</v>
      </c>
      <c r="J2031" s="2">
        <f>I2031 - INT(ROUND($B$4 * 30.4375, 0) * (28+0.5)/50)</f>
        <v>0</v>
      </c>
      <c r="K2031" s="4">
        <f>VLOOKUP(J2031, '1_Rate_Changes'!$A$2:$C$100, 3, TRUE)</f>
        <v>0</v>
      </c>
    </row>
    <row r="2032" spans="7:11">
      <c r="G2032">
        <v>40</v>
      </c>
      <c r="H2032">
        <v>29</v>
      </c>
      <c r="I2032" s="2">
        <f>INT(DATE($B$3,1,1) + (40+0.5)*365/50)</f>
        <v>0</v>
      </c>
      <c r="J2032" s="2">
        <f>I2032 - INT(ROUND($B$4 * 30.4375, 0) * (29+0.5)/50)</f>
        <v>0</v>
      </c>
      <c r="K2032" s="4">
        <f>VLOOKUP(J2032, '1_Rate_Changes'!$A$2:$C$100, 3, TRUE)</f>
        <v>0</v>
      </c>
    </row>
    <row r="2033" spans="7:11">
      <c r="G2033">
        <v>40</v>
      </c>
      <c r="H2033">
        <v>30</v>
      </c>
      <c r="I2033" s="2">
        <f>INT(DATE($B$3,1,1) + (40+0.5)*365/50)</f>
        <v>0</v>
      </c>
      <c r="J2033" s="2">
        <f>I2033 - INT(ROUND($B$4 * 30.4375, 0) * (30+0.5)/50)</f>
        <v>0</v>
      </c>
      <c r="K2033" s="4">
        <f>VLOOKUP(J2033, '1_Rate_Changes'!$A$2:$C$100, 3, TRUE)</f>
        <v>0</v>
      </c>
    </row>
    <row r="2034" spans="7:11">
      <c r="G2034">
        <v>40</v>
      </c>
      <c r="H2034">
        <v>31</v>
      </c>
      <c r="I2034" s="2">
        <f>INT(DATE($B$3,1,1) + (40+0.5)*365/50)</f>
        <v>0</v>
      </c>
      <c r="J2034" s="2">
        <f>I2034 - INT(ROUND($B$4 * 30.4375, 0) * (31+0.5)/50)</f>
        <v>0</v>
      </c>
      <c r="K2034" s="4">
        <f>VLOOKUP(J2034, '1_Rate_Changes'!$A$2:$C$100, 3, TRUE)</f>
        <v>0</v>
      </c>
    </row>
    <row r="2035" spans="7:11">
      <c r="G2035">
        <v>40</v>
      </c>
      <c r="H2035">
        <v>32</v>
      </c>
      <c r="I2035" s="2">
        <f>INT(DATE($B$3,1,1) + (40+0.5)*365/50)</f>
        <v>0</v>
      </c>
      <c r="J2035" s="2">
        <f>I2035 - INT(ROUND($B$4 * 30.4375, 0) * (32+0.5)/50)</f>
        <v>0</v>
      </c>
      <c r="K2035" s="4">
        <f>VLOOKUP(J2035, '1_Rate_Changes'!$A$2:$C$100, 3, TRUE)</f>
        <v>0</v>
      </c>
    </row>
    <row r="2036" spans="7:11">
      <c r="G2036">
        <v>40</v>
      </c>
      <c r="H2036">
        <v>33</v>
      </c>
      <c r="I2036" s="2">
        <f>INT(DATE($B$3,1,1) + (40+0.5)*365/50)</f>
        <v>0</v>
      </c>
      <c r="J2036" s="2">
        <f>I2036 - INT(ROUND($B$4 * 30.4375, 0) * (33+0.5)/50)</f>
        <v>0</v>
      </c>
      <c r="K2036" s="4">
        <f>VLOOKUP(J2036, '1_Rate_Changes'!$A$2:$C$100, 3, TRUE)</f>
        <v>0</v>
      </c>
    </row>
    <row r="2037" spans="7:11">
      <c r="G2037">
        <v>40</v>
      </c>
      <c r="H2037">
        <v>34</v>
      </c>
      <c r="I2037" s="2">
        <f>INT(DATE($B$3,1,1) + (40+0.5)*365/50)</f>
        <v>0</v>
      </c>
      <c r="J2037" s="2">
        <f>I2037 - INT(ROUND($B$4 * 30.4375, 0) * (34+0.5)/50)</f>
        <v>0</v>
      </c>
      <c r="K2037" s="4">
        <f>VLOOKUP(J2037, '1_Rate_Changes'!$A$2:$C$100, 3, TRUE)</f>
        <v>0</v>
      </c>
    </row>
    <row r="2038" spans="7:11">
      <c r="G2038">
        <v>40</v>
      </c>
      <c r="H2038">
        <v>35</v>
      </c>
      <c r="I2038" s="2">
        <f>INT(DATE($B$3,1,1) + (40+0.5)*365/50)</f>
        <v>0</v>
      </c>
      <c r="J2038" s="2">
        <f>I2038 - INT(ROUND($B$4 * 30.4375, 0) * (35+0.5)/50)</f>
        <v>0</v>
      </c>
      <c r="K2038" s="4">
        <f>VLOOKUP(J2038, '1_Rate_Changes'!$A$2:$C$100, 3, TRUE)</f>
        <v>0</v>
      </c>
    </row>
    <row r="2039" spans="7:11">
      <c r="G2039">
        <v>40</v>
      </c>
      <c r="H2039">
        <v>36</v>
      </c>
      <c r="I2039" s="2">
        <f>INT(DATE($B$3,1,1) + (40+0.5)*365/50)</f>
        <v>0</v>
      </c>
      <c r="J2039" s="2">
        <f>I2039 - INT(ROUND($B$4 * 30.4375, 0) * (36+0.5)/50)</f>
        <v>0</v>
      </c>
      <c r="K2039" s="4">
        <f>VLOOKUP(J2039, '1_Rate_Changes'!$A$2:$C$100, 3, TRUE)</f>
        <v>0</v>
      </c>
    </row>
    <row r="2040" spans="7:11">
      <c r="G2040">
        <v>40</v>
      </c>
      <c r="H2040">
        <v>37</v>
      </c>
      <c r="I2040" s="2">
        <f>INT(DATE($B$3,1,1) + (40+0.5)*365/50)</f>
        <v>0</v>
      </c>
      <c r="J2040" s="2">
        <f>I2040 - INT(ROUND($B$4 * 30.4375, 0) * (37+0.5)/50)</f>
        <v>0</v>
      </c>
      <c r="K2040" s="4">
        <f>VLOOKUP(J2040, '1_Rate_Changes'!$A$2:$C$100, 3, TRUE)</f>
        <v>0</v>
      </c>
    </row>
    <row r="2041" spans="7:11">
      <c r="G2041">
        <v>40</v>
      </c>
      <c r="H2041">
        <v>38</v>
      </c>
      <c r="I2041" s="2">
        <f>INT(DATE($B$3,1,1) + (40+0.5)*365/50)</f>
        <v>0</v>
      </c>
      <c r="J2041" s="2">
        <f>I2041 - INT(ROUND($B$4 * 30.4375, 0) * (38+0.5)/50)</f>
        <v>0</v>
      </c>
      <c r="K2041" s="4">
        <f>VLOOKUP(J2041, '1_Rate_Changes'!$A$2:$C$100, 3, TRUE)</f>
        <v>0</v>
      </c>
    </row>
    <row r="2042" spans="7:11">
      <c r="G2042">
        <v>40</v>
      </c>
      <c r="H2042">
        <v>39</v>
      </c>
      <c r="I2042" s="2">
        <f>INT(DATE($B$3,1,1) + (40+0.5)*365/50)</f>
        <v>0</v>
      </c>
      <c r="J2042" s="2">
        <f>I2042 - INT(ROUND($B$4 * 30.4375, 0) * (39+0.5)/50)</f>
        <v>0</v>
      </c>
      <c r="K2042" s="4">
        <f>VLOOKUP(J2042, '1_Rate_Changes'!$A$2:$C$100, 3, TRUE)</f>
        <v>0</v>
      </c>
    </row>
    <row r="2043" spans="7:11">
      <c r="G2043">
        <v>40</v>
      </c>
      <c r="H2043">
        <v>40</v>
      </c>
      <c r="I2043" s="2">
        <f>INT(DATE($B$3,1,1) + (40+0.5)*365/50)</f>
        <v>0</v>
      </c>
      <c r="J2043" s="2">
        <f>I2043 - INT(ROUND($B$4 * 30.4375, 0) * (40+0.5)/50)</f>
        <v>0</v>
      </c>
      <c r="K2043" s="4">
        <f>VLOOKUP(J2043, '1_Rate_Changes'!$A$2:$C$100, 3, TRUE)</f>
        <v>0</v>
      </c>
    </row>
    <row r="2044" spans="7:11">
      <c r="G2044">
        <v>40</v>
      </c>
      <c r="H2044">
        <v>41</v>
      </c>
      <c r="I2044" s="2">
        <f>INT(DATE($B$3,1,1) + (40+0.5)*365/50)</f>
        <v>0</v>
      </c>
      <c r="J2044" s="2">
        <f>I2044 - INT(ROUND($B$4 * 30.4375, 0) * (41+0.5)/50)</f>
        <v>0</v>
      </c>
      <c r="K2044" s="4">
        <f>VLOOKUP(J2044, '1_Rate_Changes'!$A$2:$C$100, 3, TRUE)</f>
        <v>0</v>
      </c>
    </row>
    <row r="2045" spans="7:11">
      <c r="G2045">
        <v>40</v>
      </c>
      <c r="H2045">
        <v>42</v>
      </c>
      <c r="I2045" s="2">
        <f>INT(DATE($B$3,1,1) + (40+0.5)*365/50)</f>
        <v>0</v>
      </c>
      <c r="J2045" s="2">
        <f>I2045 - INT(ROUND($B$4 * 30.4375, 0) * (42+0.5)/50)</f>
        <v>0</v>
      </c>
      <c r="K2045" s="4">
        <f>VLOOKUP(J2045, '1_Rate_Changes'!$A$2:$C$100, 3, TRUE)</f>
        <v>0</v>
      </c>
    </row>
    <row r="2046" spans="7:11">
      <c r="G2046">
        <v>40</v>
      </c>
      <c r="H2046">
        <v>43</v>
      </c>
      <c r="I2046" s="2">
        <f>INT(DATE($B$3,1,1) + (40+0.5)*365/50)</f>
        <v>0</v>
      </c>
      <c r="J2046" s="2">
        <f>I2046 - INT(ROUND($B$4 * 30.4375, 0) * (43+0.5)/50)</f>
        <v>0</v>
      </c>
      <c r="K2046" s="4">
        <f>VLOOKUP(J2046, '1_Rate_Changes'!$A$2:$C$100, 3, TRUE)</f>
        <v>0</v>
      </c>
    </row>
    <row r="2047" spans="7:11">
      <c r="G2047">
        <v>40</v>
      </c>
      <c r="H2047">
        <v>44</v>
      </c>
      <c r="I2047" s="2">
        <f>INT(DATE($B$3,1,1) + (40+0.5)*365/50)</f>
        <v>0</v>
      </c>
      <c r="J2047" s="2">
        <f>I2047 - INT(ROUND($B$4 * 30.4375, 0) * (44+0.5)/50)</f>
        <v>0</v>
      </c>
      <c r="K2047" s="4">
        <f>VLOOKUP(J2047, '1_Rate_Changes'!$A$2:$C$100, 3, TRUE)</f>
        <v>0</v>
      </c>
    </row>
    <row r="2048" spans="7:11">
      <c r="G2048">
        <v>40</v>
      </c>
      <c r="H2048">
        <v>45</v>
      </c>
      <c r="I2048" s="2">
        <f>INT(DATE($B$3,1,1) + (40+0.5)*365/50)</f>
        <v>0</v>
      </c>
      <c r="J2048" s="2">
        <f>I2048 - INT(ROUND($B$4 * 30.4375, 0) * (45+0.5)/50)</f>
        <v>0</v>
      </c>
      <c r="K2048" s="4">
        <f>VLOOKUP(J2048, '1_Rate_Changes'!$A$2:$C$100, 3, TRUE)</f>
        <v>0</v>
      </c>
    </row>
    <row r="2049" spans="7:11">
      <c r="G2049">
        <v>40</v>
      </c>
      <c r="H2049">
        <v>46</v>
      </c>
      <c r="I2049" s="2">
        <f>INT(DATE($B$3,1,1) + (40+0.5)*365/50)</f>
        <v>0</v>
      </c>
      <c r="J2049" s="2">
        <f>I2049 - INT(ROUND($B$4 * 30.4375, 0) * (46+0.5)/50)</f>
        <v>0</v>
      </c>
      <c r="K2049" s="4">
        <f>VLOOKUP(J2049, '1_Rate_Changes'!$A$2:$C$100, 3, TRUE)</f>
        <v>0</v>
      </c>
    </row>
    <row r="2050" spans="7:11">
      <c r="G2050">
        <v>40</v>
      </c>
      <c r="H2050">
        <v>47</v>
      </c>
      <c r="I2050" s="2">
        <f>INT(DATE($B$3,1,1) + (40+0.5)*365/50)</f>
        <v>0</v>
      </c>
      <c r="J2050" s="2">
        <f>I2050 - INT(ROUND($B$4 * 30.4375, 0) * (47+0.5)/50)</f>
        <v>0</v>
      </c>
      <c r="K2050" s="4">
        <f>VLOOKUP(J2050, '1_Rate_Changes'!$A$2:$C$100, 3, TRUE)</f>
        <v>0</v>
      </c>
    </row>
    <row r="2051" spans="7:11">
      <c r="G2051">
        <v>40</v>
      </c>
      <c r="H2051">
        <v>48</v>
      </c>
      <c r="I2051" s="2">
        <f>INT(DATE($B$3,1,1) + (40+0.5)*365/50)</f>
        <v>0</v>
      </c>
      <c r="J2051" s="2">
        <f>I2051 - INT(ROUND($B$4 * 30.4375, 0) * (48+0.5)/50)</f>
        <v>0</v>
      </c>
      <c r="K2051" s="4">
        <f>VLOOKUP(J2051, '1_Rate_Changes'!$A$2:$C$100, 3, TRUE)</f>
        <v>0</v>
      </c>
    </row>
    <row r="2052" spans="7:11">
      <c r="G2052">
        <v>40</v>
      </c>
      <c r="H2052">
        <v>49</v>
      </c>
      <c r="I2052" s="2">
        <f>INT(DATE($B$3,1,1) + (40+0.5)*365/50)</f>
        <v>0</v>
      </c>
      <c r="J2052" s="2">
        <f>I2052 - INT(ROUND($B$4 * 30.4375, 0) * (49+0.5)/50)</f>
        <v>0</v>
      </c>
      <c r="K2052" s="4">
        <f>VLOOKUP(J2052, '1_Rate_Changes'!$A$2:$C$100, 3, TRUE)</f>
        <v>0</v>
      </c>
    </row>
    <row r="2053" spans="7:11">
      <c r="G2053">
        <v>41</v>
      </c>
      <c r="H2053">
        <v>0</v>
      </c>
      <c r="I2053" s="2">
        <f>INT(DATE($B$3,1,1) + (41+0.5)*365/50)</f>
        <v>0</v>
      </c>
      <c r="J2053" s="2">
        <f>I2053 - INT(ROUND($B$4 * 30.4375, 0) * (0+0.5)/50)</f>
        <v>0</v>
      </c>
      <c r="K2053" s="4">
        <f>VLOOKUP(J2053, '1_Rate_Changes'!$A$2:$C$100, 3, TRUE)</f>
        <v>0</v>
      </c>
    </row>
    <row r="2054" spans="7:11">
      <c r="G2054">
        <v>41</v>
      </c>
      <c r="H2054">
        <v>1</v>
      </c>
      <c r="I2054" s="2">
        <f>INT(DATE($B$3,1,1) + (41+0.5)*365/50)</f>
        <v>0</v>
      </c>
      <c r="J2054" s="2">
        <f>I2054 - INT(ROUND($B$4 * 30.4375, 0) * (1+0.5)/50)</f>
        <v>0</v>
      </c>
      <c r="K2054" s="4">
        <f>VLOOKUP(J2054, '1_Rate_Changes'!$A$2:$C$100, 3, TRUE)</f>
        <v>0</v>
      </c>
    </row>
    <row r="2055" spans="7:11">
      <c r="G2055">
        <v>41</v>
      </c>
      <c r="H2055">
        <v>2</v>
      </c>
      <c r="I2055" s="2">
        <f>INT(DATE($B$3,1,1) + (41+0.5)*365/50)</f>
        <v>0</v>
      </c>
      <c r="J2055" s="2">
        <f>I2055 - INT(ROUND($B$4 * 30.4375, 0) * (2+0.5)/50)</f>
        <v>0</v>
      </c>
      <c r="K2055" s="4">
        <f>VLOOKUP(J2055, '1_Rate_Changes'!$A$2:$C$100, 3, TRUE)</f>
        <v>0</v>
      </c>
    </row>
    <row r="2056" spans="7:11">
      <c r="G2056">
        <v>41</v>
      </c>
      <c r="H2056">
        <v>3</v>
      </c>
      <c r="I2056" s="2">
        <f>INT(DATE($B$3,1,1) + (41+0.5)*365/50)</f>
        <v>0</v>
      </c>
      <c r="J2056" s="2">
        <f>I2056 - INT(ROUND($B$4 * 30.4375, 0) * (3+0.5)/50)</f>
        <v>0</v>
      </c>
      <c r="K2056" s="4">
        <f>VLOOKUP(J2056, '1_Rate_Changes'!$A$2:$C$100, 3, TRUE)</f>
        <v>0</v>
      </c>
    </row>
    <row r="2057" spans="7:11">
      <c r="G2057">
        <v>41</v>
      </c>
      <c r="H2057">
        <v>4</v>
      </c>
      <c r="I2057" s="2">
        <f>INT(DATE($B$3,1,1) + (41+0.5)*365/50)</f>
        <v>0</v>
      </c>
      <c r="J2057" s="2">
        <f>I2057 - INT(ROUND($B$4 * 30.4375, 0) * (4+0.5)/50)</f>
        <v>0</v>
      </c>
      <c r="K2057" s="4">
        <f>VLOOKUP(J2057, '1_Rate_Changes'!$A$2:$C$100, 3, TRUE)</f>
        <v>0</v>
      </c>
    </row>
    <row r="2058" spans="7:11">
      <c r="G2058">
        <v>41</v>
      </c>
      <c r="H2058">
        <v>5</v>
      </c>
      <c r="I2058" s="2">
        <f>INT(DATE($B$3,1,1) + (41+0.5)*365/50)</f>
        <v>0</v>
      </c>
      <c r="J2058" s="2">
        <f>I2058 - INT(ROUND($B$4 * 30.4375, 0) * (5+0.5)/50)</f>
        <v>0</v>
      </c>
      <c r="K2058" s="4">
        <f>VLOOKUP(J2058, '1_Rate_Changes'!$A$2:$C$100, 3, TRUE)</f>
        <v>0</v>
      </c>
    </row>
    <row r="2059" spans="7:11">
      <c r="G2059">
        <v>41</v>
      </c>
      <c r="H2059">
        <v>6</v>
      </c>
      <c r="I2059" s="2">
        <f>INT(DATE($B$3,1,1) + (41+0.5)*365/50)</f>
        <v>0</v>
      </c>
      <c r="J2059" s="2">
        <f>I2059 - INT(ROUND($B$4 * 30.4375, 0) * (6+0.5)/50)</f>
        <v>0</v>
      </c>
      <c r="K2059" s="4">
        <f>VLOOKUP(J2059, '1_Rate_Changes'!$A$2:$C$100, 3, TRUE)</f>
        <v>0</v>
      </c>
    </row>
    <row r="2060" spans="7:11">
      <c r="G2060">
        <v>41</v>
      </c>
      <c r="H2060">
        <v>7</v>
      </c>
      <c r="I2060" s="2">
        <f>INT(DATE($B$3,1,1) + (41+0.5)*365/50)</f>
        <v>0</v>
      </c>
      <c r="J2060" s="2">
        <f>I2060 - INT(ROUND($B$4 * 30.4375, 0) * (7+0.5)/50)</f>
        <v>0</v>
      </c>
      <c r="K2060" s="4">
        <f>VLOOKUP(J2060, '1_Rate_Changes'!$A$2:$C$100, 3, TRUE)</f>
        <v>0</v>
      </c>
    </row>
    <row r="2061" spans="7:11">
      <c r="G2061">
        <v>41</v>
      </c>
      <c r="H2061">
        <v>8</v>
      </c>
      <c r="I2061" s="2">
        <f>INT(DATE($B$3,1,1) + (41+0.5)*365/50)</f>
        <v>0</v>
      </c>
      <c r="J2061" s="2">
        <f>I2061 - INT(ROUND($B$4 * 30.4375, 0) * (8+0.5)/50)</f>
        <v>0</v>
      </c>
      <c r="K2061" s="4">
        <f>VLOOKUP(J2061, '1_Rate_Changes'!$A$2:$C$100, 3, TRUE)</f>
        <v>0</v>
      </c>
    </row>
    <row r="2062" spans="7:11">
      <c r="G2062">
        <v>41</v>
      </c>
      <c r="H2062">
        <v>9</v>
      </c>
      <c r="I2062" s="2">
        <f>INT(DATE($B$3,1,1) + (41+0.5)*365/50)</f>
        <v>0</v>
      </c>
      <c r="J2062" s="2">
        <f>I2062 - INT(ROUND($B$4 * 30.4375, 0) * (9+0.5)/50)</f>
        <v>0</v>
      </c>
      <c r="K2062" s="4">
        <f>VLOOKUP(J2062, '1_Rate_Changes'!$A$2:$C$100, 3, TRUE)</f>
        <v>0</v>
      </c>
    </row>
    <row r="2063" spans="7:11">
      <c r="G2063">
        <v>41</v>
      </c>
      <c r="H2063">
        <v>10</v>
      </c>
      <c r="I2063" s="2">
        <f>INT(DATE($B$3,1,1) + (41+0.5)*365/50)</f>
        <v>0</v>
      </c>
      <c r="J2063" s="2">
        <f>I2063 - INT(ROUND($B$4 * 30.4375, 0) * (10+0.5)/50)</f>
        <v>0</v>
      </c>
      <c r="K2063" s="4">
        <f>VLOOKUP(J2063, '1_Rate_Changes'!$A$2:$C$100, 3, TRUE)</f>
        <v>0</v>
      </c>
    </row>
    <row r="2064" spans="7:11">
      <c r="G2064">
        <v>41</v>
      </c>
      <c r="H2064">
        <v>11</v>
      </c>
      <c r="I2064" s="2">
        <f>INT(DATE($B$3,1,1) + (41+0.5)*365/50)</f>
        <v>0</v>
      </c>
      <c r="J2064" s="2">
        <f>I2064 - INT(ROUND($B$4 * 30.4375, 0) * (11+0.5)/50)</f>
        <v>0</v>
      </c>
      <c r="K2064" s="4">
        <f>VLOOKUP(J2064, '1_Rate_Changes'!$A$2:$C$100, 3, TRUE)</f>
        <v>0</v>
      </c>
    </row>
    <row r="2065" spans="7:11">
      <c r="G2065">
        <v>41</v>
      </c>
      <c r="H2065">
        <v>12</v>
      </c>
      <c r="I2065" s="2">
        <f>INT(DATE($B$3,1,1) + (41+0.5)*365/50)</f>
        <v>0</v>
      </c>
      <c r="J2065" s="2">
        <f>I2065 - INT(ROUND($B$4 * 30.4375, 0) * (12+0.5)/50)</f>
        <v>0</v>
      </c>
      <c r="K2065" s="4">
        <f>VLOOKUP(J2065, '1_Rate_Changes'!$A$2:$C$100, 3, TRUE)</f>
        <v>0</v>
      </c>
    </row>
    <row r="2066" spans="7:11">
      <c r="G2066">
        <v>41</v>
      </c>
      <c r="H2066">
        <v>13</v>
      </c>
      <c r="I2066" s="2">
        <f>INT(DATE($B$3,1,1) + (41+0.5)*365/50)</f>
        <v>0</v>
      </c>
      <c r="J2066" s="2">
        <f>I2066 - INT(ROUND($B$4 * 30.4375, 0) * (13+0.5)/50)</f>
        <v>0</v>
      </c>
      <c r="K2066" s="4">
        <f>VLOOKUP(J2066, '1_Rate_Changes'!$A$2:$C$100, 3, TRUE)</f>
        <v>0</v>
      </c>
    </row>
    <row r="2067" spans="7:11">
      <c r="G2067">
        <v>41</v>
      </c>
      <c r="H2067">
        <v>14</v>
      </c>
      <c r="I2067" s="2">
        <f>INT(DATE($B$3,1,1) + (41+0.5)*365/50)</f>
        <v>0</v>
      </c>
      <c r="J2067" s="2">
        <f>I2067 - INT(ROUND($B$4 * 30.4375, 0) * (14+0.5)/50)</f>
        <v>0</v>
      </c>
      <c r="K2067" s="4">
        <f>VLOOKUP(J2067, '1_Rate_Changes'!$A$2:$C$100, 3, TRUE)</f>
        <v>0</v>
      </c>
    </row>
    <row r="2068" spans="7:11">
      <c r="G2068">
        <v>41</v>
      </c>
      <c r="H2068">
        <v>15</v>
      </c>
      <c r="I2068" s="2">
        <f>INT(DATE($B$3,1,1) + (41+0.5)*365/50)</f>
        <v>0</v>
      </c>
      <c r="J2068" s="2">
        <f>I2068 - INT(ROUND($B$4 * 30.4375, 0) * (15+0.5)/50)</f>
        <v>0</v>
      </c>
      <c r="K2068" s="4">
        <f>VLOOKUP(J2068, '1_Rate_Changes'!$A$2:$C$100, 3, TRUE)</f>
        <v>0</v>
      </c>
    </row>
    <row r="2069" spans="7:11">
      <c r="G2069">
        <v>41</v>
      </c>
      <c r="H2069">
        <v>16</v>
      </c>
      <c r="I2069" s="2">
        <f>INT(DATE($B$3,1,1) + (41+0.5)*365/50)</f>
        <v>0</v>
      </c>
      <c r="J2069" s="2">
        <f>I2069 - INT(ROUND($B$4 * 30.4375, 0) * (16+0.5)/50)</f>
        <v>0</v>
      </c>
      <c r="K2069" s="4">
        <f>VLOOKUP(J2069, '1_Rate_Changes'!$A$2:$C$100, 3, TRUE)</f>
        <v>0</v>
      </c>
    </row>
    <row r="2070" spans="7:11">
      <c r="G2070">
        <v>41</v>
      </c>
      <c r="H2070">
        <v>17</v>
      </c>
      <c r="I2070" s="2">
        <f>INT(DATE($B$3,1,1) + (41+0.5)*365/50)</f>
        <v>0</v>
      </c>
      <c r="J2070" s="2">
        <f>I2070 - INT(ROUND($B$4 * 30.4375, 0) * (17+0.5)/50)</f>
        <v>0</v>
      </c>
      <c r="K2070" s="4">
        <f>VLOOKUP(J2070, '1_Rate_Changes'!$A$2:$C$100, 3, TRUE)</f>
        <v>0</v>
      </c>
    </row>
    <row r="2071" spans="7:11">
      <c r="G2071">
        <v>41</v>
      </c>
      <c r="H2071">
        <v>18</v>
      </c>
      <c r="I2071" s="2">
        <f>INT(DATE($B$3,1,1) + (41+0.5)*365/50)</f>
        <v>0</v>
      </c>
      <c r="J2071" s="2">
        <f>I2071 - INT(ROUND($B$4 * 30.4375, 0) * (18+0.5)/50)</f>
        <v>0</v>
      </c>
      <c r="K2071" s="4">
        <f>VLOOKUP(J2071, '1_Rate_Changes'!$A$2:$C$100, 3, TRUE)</f>
        <v>0</v>
      </c>
    </row>
    <row r="2072" spans="7:11">
      <c r="G2072">
        <v>41</v>
      </c>
      <c r="H2072">
        <v>19</v>
      </c>
      <c r="I2072" s="2">
        <f>INT(DATE($B$3,1,1) + (41+0.5)*365/50)</f>
        <v>0</v>
      </c>
      <c r="J2072" s="2">
        <f>I2072 - INT(ROUND($B$4 * 30.4375, 0) * (19+0.5)/50)</f>
        <v>0</v>
      </c>
      <c r="K2072" s="4">
        <f>VLOOKUP(J2072, '1_Rate_Changes'!$A$2:$C$100, 3, TRUE)</f>
        <v>0</v>
      </c>
    </row>
    <row r="2073" spans="7:11">
      <c r="G2073">
        <v>41</v>
      </c>
      <c r="H2073">
        <v>20</v>
      </c>
      <c r="I2073" s="2">
        <f>INT(DATE($B$3,1,1) + (41+0.5)*365/50)</f>
        <v>0</v>
      </c>
      <c r="J2073" s="2">
        <f>I2073 - INT(ROUND($B$4 * 30.4375, 0) * (20+0.5)/50)</f>
        <v>0</v>
      </c>
      <c r="K2073" s="4">
        <f>VLOOKUP(J2073, '1_Rate_Changes'!$A$2:$C$100, 3, TRUE)</f>
        <v>0</v>
      </c>
    </row>
    <row r="2074" spans="7:11">
      <c r="G2074">
        <v>41</v>
      </c>
      <c r="H2074">
        <v>21</v>
      </c>
      <c r="I2074" s="2">
        <f>INT(DATE($B$3,1,1) + (41+0.5)*365/50)</f>
        <v>0</v>
      </c>
      <c r="J2074" s="2">
        <f>I2074 - INT(ROUND($B$4 * 30.4375, 0) * (21+0.5)/50)</f>
        <v>0</v>
      </c>
      <c r="K2074" s="4">
        <f>VLOOKUP(J2074, '1_Rate_Changes'!$A$2:$C$100, 3, TRUE)</f>
        <v>0</v>
      </c>
    </row>
    <row r="2075" spans="7:11">
      <c r="G2075">
        <v>41</v>
      </c>
      <c r="H2075">
        <v>22</v>
      </c>
      <c r="I2075" s="2">
        <f>INT(DATE($B$3,1,1) + (41+0.5)*365/50)</f>
        <v>0</v>
      </c>
      <c r="J2075" s="2">
        <f>I2075 - INT(ROUND($B$4 * 30.4375, 0) * (22+0.5)/50)</f>
        <v>0</v>
      </c>
      <c r="K2075" s="4">
        <f>VLOOKUP(J2075, '1_Rate_Changes'!$A$2:$C$100, 3, TRUE)</f>
        <v>0</v>
      </c>
    </row>
    <row r="2076" spans="7:11">
      <c r="G2076">
        <v>41</v>
      </c>
      <c r="H2076">
        <v>23</v>
      </c>
      <c r="I2076" s="2">
        <f>INT(DATE($B$3,1,1) + (41+0.5)*365/50)</f>
        <v>0</v>
      </c>
      <c r="J2076" s="2">
        <f>I2076 - INT(ROUND($B$4 * 30.4375, 0) * (23+0.5)/50)</f>
        <v>0</v>
      </c>
      <c r="K2076" s="4">
        <f>VLOOKUP(J2076, '1_Rate_Changes'!$A$2:$C$100, 3, TRUE)</f>
        <v>0</v>
      </c>
    </row>
    <row r="2077" spans="7:11">
      <c r="G2077">
        <v>41</v>
      </c>
      <c r="H2077">
        <v>24</v>
      </c>
      <c r="I2077" s="2">
        <f>INT(DATE($B$3,1,1) + (41+0.5)*365/50)</f>
        <v>0</v>
      </c>
      <c r="J2077" s="2">
        <f>I2077 - INT(ROUND($B$4 * 30.4375, 0) * (24+0.5)/50)</f>
        <v>0</v>
      </c>
      <c r="K2077" s="4">
        <f>VLOOKUP(J2077, '1_Rate_Changes'!$A$2:$C$100, 3, TRUE)</f>
        <v>0</v>
      </c>
    </row>
    <row r="2078" spans="7:11">
      <c r="G2078">
        <v>41</v>
      </c>
      <c r="H2078">
        <v>25</v>
      </c>
      <c r="I2078" s="2">
        <f>INT(DATE($B$3,1,1) + (41+0.5)*365/50)</f>
        <v>0</v>
      </c>
      <c r="J2078" s="2">
        <f>I2078 - INT(ROUND($B$4 * 30.4375, 0) * (25+0.5)/50)</f>
        <v>0</v>
      </c>
      <c r="K2078" s="4">
        <f>VLOOKUP(J2078, '1_Rate_Changes'!$A$2:$C$100, 3, TRUE)</f>
        <v>0</v>
      </c>
    </row>
    <row r="2079" spans="7:11">
      <c r="G2079">
        <v>41</v>
      </c>
      <c r="H2079">
        <v>26</v>
      </c>
      <c r="I2079" s="2">
        <f>INT(DATE($B$3,1,1) + (41+0.5)*365/50)</f>
        <v>0</v>
      </c>
      <c r="J2079" s="2">
        <f>I2079 - INT(ROUND($B$4 * 30.4375, 0) * (26+0.5)/50)</f>
        <v>0</v>
      </c>
      <c r="K2079" s="4">
        <f>VLOOKUP(J2079, '1_Rate_Changes'!$A$2:$C$100, 3, TRUE)</f>
        <v>0</v>
      </c>
    </row>
    <row r="2080" spans="7:11">
      <c r="G2080">
        <v>41</v>
      </c>
      <c r="H2080">
        <v>27</v>
      </c>
      <c r="I2080" s="2">
        <f>INT(DATE($B$3,1,1) + (41+0.5)*365/50)</f>
        <v>0</v>
      </c>
      <c r="J2080" s="2">
        <f>I2080 - INT(ROUND($B$4 * 30.4375, 0) * (27+0.5)/50)</f>
        <v>0</v>
      </c>
      <c r="K2080" s="4">
        <f>VLOOKUP(J2080, '1_Rate_Changes'!$A$2:$C$100, 3, TRUE)</f>
        <v>0</v>
      </c>
    </row>
    <row r="2081" spans="7:11">
      <c r="G2081">
        <v>41</v>
      </c>
      <c r="H2081">
        <v>28</v>
      </c>
      <c r="I2081" s="2">
        <f>INT(DATE($B$3,1,1) + (41+0.5)*365/50)</f>
        <v>0</v>
      </c>
      <c r="J2081" s="2">
        <f>I2081 - INT(ROUND($B$4 * 30.4375, 0) * (28+0.5)/50)</f>
        <v>0</v>
      </c>
      <c r="K2081" s="4">
        <f>VLOOKUP(J2081, '1_Rate_Changes'!$A$2:$C$100, 3, TRUE)</f>
        <v>0</v>
      </c>
    </row>
    <row r="2082" spans="7:11">
      <c r="G2082">
        <v>41</v>
      </c>
      <c r="H2082">
        <v>29</v>
      </c>
      <c r="I2082" s="2">
        <f>INT(DATE($B$3,1,1) + (41+0.5)*365/50)</f>
        <v>0</v>
      </c>
      <c r="J2082" s="2">
        <f>I2082 - INT(ROUND($B$4 * 30.4375, 0) * (29+0.5)/50)</f>
        <v>0</v>
      </c>
      <c r="K2082" s="4">
        <f>VLOOKUP(J2082, '1_Rate_Changes'!$A$2:$C$100, 3, TRUE)</f>
        <v>0</v>
      </c>
    </row>
    <row r="2083" spans="7:11">
      <c r="G2083">
        <v>41</v>
      </c>
      <c r="H2083">
        <v>30</v>
      </c>
      <c r="I2083" s="2">
        <f>INT(DATE($B$3,1,1) + (41+0.5)*365/50)</f>
        <v>0</v>
      </c>
      <c r="J2083" s="2">
        <f>I2083 - INT(ROUND($B$4 * 30.4375, 0) * (30+0.5)/50)</f>
        <v>0</v>
      </c>
      <c r="K2083" s="4">
        <f>VLOOKUP(J2083, '1_Rate_Changes'!$A$2:$C$100, 3, TRUE)</f>
        <v>0</v>
      </c>
    </row>
    <row r="2084" spans="7:11">
      <c r="G2084">
        <v>41</v>
      </c>
      <c r="H2084">
        <v>31</v>
      </c>
      <c r="I2084" s="2">
        <f>INT(DATE($B$3,1,1) + (41+0.5)*365/50)</f>
        <v>0</v>
      </c>
      <c r="J2084" s="2">
        <f>I2084 - INT(ROUND($B$4 * 30.4375, 0) * (31+0.5)/50)</f>
        <v>0</v>
      </c>
      <c r="K2084" s="4">
        <f>VLOOKUP(J2084, '1_Rate_Changes'!$A$2:$C$100, 3, TRUE)</f>
        <v>0</v>
      </c>
    </row>
    <row r="2085" spans="7:11">
      <c r="G2085">
        <v>41</v>
      </c>
      <c r="H2085">
        <v>32</v>
      </c>
      <c r="I2085" s="2">
        <f>INT(DATE($B$3,1,1) + (41+0.5)*365/50)</f>
        <v>0</v>
      </c>
      <c r="J2085" s="2">
        <f>I2085 - INT(ROUND($B$4 * 30.4375, 0) * (32+0.5)/50)</f>
        <v>0</v>
      </c>
      <c r="K2085" s="4">
        <f>VLOOKUP(J2085, '1_Rate_Changes'!$A$2:$C$100, 3, TRUE)</f>
        <v>0</v>
      </c>
    </row>
    <row r="2086" spans="7:11">
      <c r="G2086">
        <v>41</v>
      </c>
      <c r="H2086">
        <v>33</v>
      </c>
      <c r="I2086" s="2">
        <f>INT(DATE($B$3,1,1) + (41+0.5)*365/50)</f>
        <v>0</v>
      </c>
      <c r="J2086" s="2">
        <f>I2086 - INT(ROUND($B$4 * 30.4375, 0) * (33+0.5)/50)</f>
        <v>0</v>
      </c>
      <c r="K2086" s="4">
        <f>VLOOKUP(J2086, '1_Rate_Changes'!$A$2:$C$100, 3, TRUE)</f>
        <v>0</v>
      </c>
    </row>
    <row r="2087" spans="7:11">
      <c r="G2087">
        <v>41</v>
      </c>
      <c r="H2087">
        <v>34</v>
      </c>
      <c r="I2087" s="2">
        <f>INT(DATE($B$3,1,1) + (41+0.5)*365/50)</f>
        <v>0</v>
      </c>
      <c r="J2087" s="2">
        <f>I2087 - INT(ROUND($B$4 * 30.4375, 0) * (34+0.5)/50)</f>
        <v>0</v>
      </c>
      <c r="K2087" s="4">
        <f>VLOOKUP(J2087, '1_Rate_Changes'!$A$2:$C$100, 3, TRUE)</f>
        <v>0</v>
      </c>
    </row>
    <row r="2088" spans="7:11">
      <c r="G2088">
        <v>41</v>
      </c>
      <c r="H2088">
        <v>35</v>
      </c>
      <c r="I2088" s="2">
        <f>INT(DATE($B$3,1,1) + (41+0.5)*365/50)</f>
        <v>0</v>
      </c>
      <c r="J2088" s="2">
        <f>I2088 - INT(ROUND($B$4 * 30.4375, 0) * (35+0.5)/50)</f>
        <v>0</v>
      </c>
      <c r="K2088" s="4">
        <f>VLOOKUP(J2088, '1_Rate_Changes'!$A$2:$C$100, 3, TRUE)</f>
        <v>0</v>
      </c>
    </row>
    <row r="2089" spans="7:11">
      <c r="G2089">
        <v>41</v>
      </c>
      <c r="H2089">
        <v>36</v>
      </c>
      <c r="I2089" s="2">
        <f>INT(DATE($B$3,1,1) + (41+0.5)*365/50)</f>
        <v>0</v>
      </c>
      <c r="J2089" s="2">
        <f>I2089 - INT(ROUND($B$4 * 30.4375, 0) * (36+0.5)/50)</f>
        <v>0</v>
      </c>
      <c r="K2089" s="4">
        <f>VLOOKUP(J2089, '1_Rate_Changes'!$A$2:$C$100, 3, TRUE)</f>
        <v>0</v>
      </c>
    </row>
    <row r="2090" spans="7:11">
      <c r="G2090">
        <v>41</v>
      </c>
      <c r="H2090">
        <v>37</v>
      </c>
      <c r="I2090" s="2">
        <f>INT(DATE($B$3,1,1) + (41+0.5)*365/50)</f>
        <v>0</v>
      </c>
      <c r="J2090" s="2">
        <f>I2090 - INT(ROUND($B$4 * 30.4375, 0) * (37+0.5)/50)</f>
        <v>0</v>
      </c>
      <c r="K2090" s="4">
        <f>VLOOKUP(J2090, '1_Rate_Changes'!$A$2:$C$100, 3, TRUE)</f>
        <v>0</v>
      </c>
    </row>
    <row r="2091" spans="7:11">
      <c r="G2091">
        <v>41</v>
      </c>
      <c r="H2091">
        <v>38</v>
      </c>
      <c r="I2091" s="2">
        <f>INT(DATE($B$3,1,1) + (41+0.5)*365/50)</f>
        <v>0</v>
      </c>
      <c r="J2091" s="2">
        <f>I2091 - INT(ROUND($B$4 * 30.4375, 0) * (38+0.5)/50)</f>
        <v>0</v>
      </c>
      <c r="K2091" s="4">
        <f>VLOOKUP(J2091, '1_Rate_Changes'!$A$2:$C$100, 3, TRUE)</f>
        <v>0</v>
      </c>
    </row>
    <row r="2092" spans="7:11">
      <c r="G2092">
        <v>41</v>
      </c>
      <c r="H2092">
        <v>39</v>
      </c>
      <c r="I2092" s="2">
        <f>INT(DATE($B$3,1,1) + (41+0.5)*365/50)</f>
        <v>0</v>
      </c>
      <c r="J2092" s="2">
        <f>I2092 - INT(ROUND($B$4 * 30.4375, 0) * (39+0.5)/50)</f>
        <v>0</v>
      </c>
      <c r="K2092" s="4">
        <f>VLOOKUP(J2092, '1_Rate_Changes'!$A$2:$C$100, 3, TRUE)</f>
        <v>0</v>
      </c>
    </row>
    <row r="2093" spans="7:11">
      <c r="G2093">
        <v>41</v>
      </c>
      <c r="H2093">
        <v>40</v>
      </c>
      <c r="I2093" s="2">
        <f>INT(DATE($B$3,1,1) + (41+0.5)*365/50)</f>
        <v>0</v>
      </c>
      <c r="J2093" s="2">
        <f>I2093 - INT(ROUND($B$4 * 30.4375, 0) * (40+0.5)/50)</f>
        <v>0</v>
      </c>
      <c r="K2093" s="4">
        <f>VLOOKUP(J2093, '1_Rate_Changes'!$A$2:$C$100, 3, TRUE)</f>
        <v>0</v>
      </c>
    </row>
    <row r="2094" spans="7:11">
      <c r="G2094">
        <v>41</v>
      </c>
      <c r="H2094">
        <v>41</v>
      </c>
      <c r="I2094" s="2">
        <f>INT(DATE($B$3,1,1) + (41+0.5)*365/50)</f>
        <v>0</v>
      </c>
      <c r="J2094" s="2">
        <f>I2094 - INT(ROUND($B$4 * 30.4375, 0) * (41+0.5)/50)</f>
        <v>0</v>
      </c>
      <c r="K2094" s="4">
        <f>VLOOKUP(J2094, '1_Rate_Changes'!$A$2:$C$100, 3, TRUE)</f>
        <v>0</v>
      </c>
    </row>
    <row r="2095" spans="7:11">
      <c r="G2095">
        <v>41</v>
      </c>
      <c r="H2095">
        <v>42</v>
      </c>
      <c r="I2095" s="2">
        <f>INT(DATE($B$3,1,1) + (41+0.5)*365/50)</f>
        <v>0</v>
      </c>
      <c r="J2095" s="2">
        <f>I2095 - INT(ROUND($B$4 * 30.4375, 0) * (42+0.5)/50)</f>
        <v>0</v>
      </c>
      <c r="K2095" s="4">
        <f>VLOOKUP(J2095, '1_Rate_Changes'!$A$2:$C$100, 3, TRUE)</f>
        <v>0</v>
      </c>
    </row>
    <row r="2096" spans="7:11">
      <c r="G2096">
        <v>41</v>
      </c>
      <c r="H2096">
        <v>43</v>
      </c>
      <c r="I2096" s="2">
        <f>INT(DATE($B$3,1,1) + (41+0.5)*365/50)</f>
        <v>0</v>
      </c>
      <c r="J2096" s="2">
        <f>I2096 - INT(ROUND($B$4 * 30.4375, 0) * (43+0.5)/50)</f>
        <v>0</v>
      </c>
      <c r="K2096" s="4">
        <f>VLOOKUP(J2096, '1_Rate_Changes'!$A$2:$C$100, 3, TRUE)</f>
        <v>0</v>
      </c>
    </row>
    <row r="2097" spans="7:11">
      <c r="G2097">
        <v>41</v>
      </c>
      <c r="H2097">
        <v>44</v>
      </c>
      <c r="I2097" s="2">
        <f>INT(DATE($B$3,1,1) + (41+0.5)*365/50)</f>
        <v>0</v>
      </c>
      <c r="J2097" s="2">
        <f>I2097 - INT(ROUND($B$4 * 30.4375, 0) * (44+0.5)/50)</f>
        <v>0</v>
      </c>
      <c r="K2097" s="4">
        <f>VLOOKUP(J2097, '1_Rate_Changes'!$A$2:$C$100, 3, TRUE)</f>
        <v>0</v>
      </c>
    </row>
    <row r="2098" spans="7:11">
      <c r="G2098">
        <v>41</v>
      </c>
      <c r="H2098">
        <v>45</v>
      </c>
      <c r="I2098" s="2">
        <f>INT(DATE($B$3,1,1) + (41+0.5)*365/50)</f>
        <v>0</v>
      </c>
      <c r="J2098" s="2">
        <f>I2098 - INT(ROUND($B$4 * 30.4375, 0) * (45+0.5)/50)</f>
        <v>0</v>
      </c>
      <c r="K2098" s="4">
        <f>VLOOKUP(J2098, '1_Rate_Changes'!$A$2:$C$100, 3, TRUE)</f>
        <v>0</v>
      </c>
    </row>
    <row r="2099" spans="7:11">
      <c r="G2099">
        <v>41</v>
      </c>
      <c r="H2099">
        <v>46</v>
      </c>
      <c r="I2099" s="2">
        <f>INT(DATE($B$3,1,1) + (41+0.5)*365/50)</f>
        <v>0</v>
      </c>
      <c r="J2099" s="2">
        <f>I2099 - INT(ROUND($B$4 * 30.4375, 0) * (46+0.5)/50)</f>
        <v>0</v>
      </c>
      <c r="K2099" s="4">
        <f>VLOOKUP(J2099, '1_Rate_Changes'!$A$2:$C$100, 3, TRUE)</f>
        <v>0</v>
      </c>
    </row>
    <row r="2100" spans="7:11">
      <c r="G2100">
        <v>41</v>
      </c>
      <c r="H2100">
        <v>47</v>
      </c>
      <c r="I2100" s="2">
        <f>INT(DATE($B$3,1,1) + (41+0.5)*365/50)</f>
        <v>0</v>
      </c>
      <c r="J2100" s="2">
        <f>I2100 - INT(ROUND($B$4 * 30.4375, 0) * (47+0.5)/50)</f>
        <v>0</v>
      </c>
      <c r="K2100" s="4">
        <f>VLOOKUP(J2100, '1_Rate_Changes'!$A$2:$C$100, 3, TRUE)</f>
        <v>0</v>
      </c>
    </row>
    <row r="2101" spans="7:11">
      <c r="G2101">
        <v>41</v>
      </c>
      <c r="H2101">
        <v>48</v>
      </c>
      <c r="I2101" s="2">
        <f>INT(DATE($B$3,1,1) + (41+0.5)*365/50)</f>
        <v>0</v>
      </c>
      <c r="J2101" s="2">
        <f>I2101 - INT(ROUND($B$4 * 30.4375, 0) * (48+0.5)/50)</f>
        <v>0</v>
      </c>
      <c r="K2101" s="4">
        <f>VLOOKUP(J2101, '1_Rate_Changes'!$A$2:$C$100, 3, TRUE)</f>
        <v>0</v>
      </c>
    </row>
    <row r="2102" spans="7:11">
      <c r="G2102">
        <v>41</v>
      </c>
      <c r="H2102">
        <v>49</v>
      </c>
      <c r="I2102" s="2">
        <f>INT(DATE($B$3,1,1) + (41+0.5)*365/50)</f>
        <v>0</v>
      </c>
      <c r="J2102" s="2">
        <f>I2102 - INT(ROUND($B$4 * 30.4375, 0) * (49+0.5)/50)</f>
        <v>0</v>
      </c>
      <c r="K2102" s="4">
        <f>VLOOKUP(J2102, '1_Rate_Changes'!$A$2:$C$100, 3, TRUE)</f>
        <v>0</v>
      </c>
    </row>
    <row r="2103" spans="7:11">
      <c r="G2103">
        <v>42</v>
      </c>
      <c r="H2103">
        <v>0</v>
      </c>
      <c r="I2103" s="2">
        <f>INT(DATE($B$3,1,1) + (42+0.5)*365/50)</f>
        <v>0</v>
      </c>
      <c r="J2103" s="2">
        <f>I2103 - INT(ROUND($B$4 * 30.4375, 0) * (0+0.5)/50)</f>
        <v>0</v>
      </c>
      <c r="K2103" s="4">
        <f>VLOOKUP(J2103, '1_Rate_Changes'!$A$2:$C$100, 3, TRUE)</f>
        <v>0</v>
      </c>
    </row>
    <row r="2104" spans="7:11">
      <c r="G2104">
        <v>42</v>
      </c>
      <c r="H2104">
        <v>1</v>
      </c>
      <c r="I2104" s="2">
        <f>INT(DATE($B$3,1,1) + (42+0.5)*365/50)</f>
        <v>0</v>
      </c>
      <c r="J2104" s="2">
        <f>I2104 - INT(ROUND($B$4 * 30.4375, 0) * (1+0.5)/50)</f>
        <v>0</v>
      </c>
      <c r="K2104" s="4">
        <f>VLOOKUP(J2104, '1_Rate_Changes'!$A$2:$C$100, 3, TRUE)</f>
        <v>0</v>
      </c>
    </row>
    <row r="2105" spans="7:11">
      <c r="G2105">
        <v>42</v>
      </c>
      <c r="H2105">
        <v>2</v>
      </c>
      <c r="I2105" s="2">
        <f>INT(DATE($B$3,1,1) + (42+0.5)*365/50)</f>
        <v>0</v>
      </c>
      <c r="J2105" s="2">
        <f>I2105 - INT(ROUND($B$4 * 30.4375, 0) * (2+0.5)/50)</f>
        <v>0</v>
      </c>
      <c r="K2105" s="4">
        <f>VLOOKUP(J2105, '1_Rate_Changes'!$A$2:$C$100, 3, TRUE)</f>
        <v>0</v>
      </c>
    </row>
    <row r="2106" spans="7:11">
      <c r="G2106">
        <v>42</v>
      </c>
      <c r="H2106">
        <v>3</v>
      </c>
      <c r="I2106" s="2">
        <f>INT(DATE($B$3,1,1) + (42+0.5)*365/50)</f>
        <v>0</v>
      </c>
      <c r="J2106" s="2">
        <f>I2106 - INT(ROUND($B$4 * 30.4375, 0) * (3+0.5)/50)</f>
        <v>0</v>
      </c>
      <c r="K2106" s="4">
        <f>VLOOKUP(J2106, '1_Rate_Changes'!$A$2:$C$100, 3, TRUE)</f>
        <v>0</v>
      </c>
    </row>
    <row r="2107" spans="7:11">
      <c r="G2107">
        <v>42</v>
      </c>
      <c r="H2107">
        <v>4</v>
      </c>
      <c r="I2107" s="2">
        <f>INT(DATE($B$3,1,1) + (42+0.5)*365/50)</f>
        <v>0</v>
      </c>
      <c r="J2107" s="2">
        <f>I2107 - INT(ROUND($B$4 * 30.4375, 0) * (4+0.5)/50)</f>
        <v>0</v>
      </c>
      <c r="K2107" s="4">
        <f>VLOOKUP(J2107, '1_Rate_Changes'!$A$2:$C$100, 3, TRUE)</f>
        <v>0</v>
      </c>
    </row>
    <row r="2108" spans="7:11">
      <c r="G2108">
        <v>42</v>
      </c>
      <c r="H2108">
        <v>5</v>
      </c>
      <c r="I2108" s="2">
        <f>INT(DATE($B$3,1,1) + (42+0.5)*365/50)</f>
        <v>0</v>
      </c>
      <c r="J2108" s="2">
        <f>I2108 - INT(ROUND($B$4 * 30.4375, 0) * (5+0.5)/50)</f>
        <v>0</v>
      </c>
      <c r="K2108" s="4">
        <f>VLOOKUP(J2108, '1_Rate_Changes'!$A$2:$C$100, 3, TRUE)</f>
        <v>0</v>
      </c>
    </row>
    <row r="2109" spans="7:11">
      <c r="G2109">
        <v>42</v>
      </c>
      <c r="H2109">
        <v>6</v>
      </c>
      <c r="I2109" s="2">
        <f>INT(DATE($B$3,1,1) + (42+0.5)*365/50)</f>
        <v>0</v>
      </c>
      <c r="J2109" s="2">
        <f>I2109 - INT(ROUND($B$4 * 30.4375, 0) * (6+0.5)/50)</f>
        <v>0</v>
      </c>
      <c r="K2109" s="4">
        <f>VLOOKUP(J2109, '1_Rate_Changes'!$A$2:$C$100, 3, TRUE)</f>
        <v>0</v>
      </c>
    </row>
    <row r="2110" spans="7:11">
      <c r="G2110">
        <v>42</v>
      </c>
      <c r="H2110">
        <v>7</v>
      </c>
      <c r="I2110" s="2">
        <f>INT(DATE($B$3,1,1) + (42+0.5)*365/50)</f>
        <v>0</v>
      </c>
      <c r="J2110" s="2">
        <f>I2110 - INT(ROUND($B$4 * 30.4375, 0) * (7+0.5)/50)</f>
        <v>0</v>
      </c>
      <c r="K2110" s="4">
        <f>VLOOKUP(J2110, '1_Rate_Changes'!$A$2:$C$100, 3, TRUE)</f>
        <v>0</v>
      </c>
    </row>
    <row r="2111" spans="7:11">
      <c r="G2111">
        <v>42</v>
      </c>
      <c r="H2111">
        <v>8</v>
      </c>
      <c r="I2111" s="2">
        <f>INT(DATE($B$3,1,1) + (42+0.5)*365/50)</f>
        <v>0</v>
      </c>
      <c r="J2111" s="2">
        <f>I2111 - INT(ROUND($B$4 * 30.4375, 0) * (8+0.5)/50)</f>
        <v>0</v>
      </c>
      <c r="K2111" s="4">
        <f>VLOOKUP(J2111, '1_Rate_Changes'!$A$2:$C$100, 3, TRUE)</f>
        <v>0</v>
      </c>
    </row>
    <row r="2112" spans="7:11">
      <c r="G2112">
        <v>42</v>
      </c>
      <c r="H2112">
        <v>9</v>
      </c>
      <c r="I2112" s="2">
        <f>INT(DATE($B$3,1,1) + (42+0.5)*365/50)</f>
        <v>0</v>
      </c>
      <c r="J2112" s="2">
        <f>I2112 - INT(ROUND($B$4 * 30.4375, 0) * (9+0.5)/50)</f>
        <v>0</v>
      </c>
      <c r="K2112" s="4">
        <f>VLOOKUP(J2112, '1_Rate_Changes'!$A$2:$C$100, 3, TRUE)</f>
        <v>0</v>
      </c>
    </row>
    <row r="2113" spans="7:11">
      <c r="G2113">
        <v>42</v>
      </c>
      <c r="H2113">
        <v>10</v>
      </c>
      <c r="I2113" s="2">
        <f>INT(DATE($B$3,1,1) + (42+0.5)*365/50)</f>
        <v>0</v>
      </c>
      <c r="J2113" s="2">
        <f>I2113 - INT(ROUND($B$4 * 30.4375, 0) * (10+0.5)/50)</f>
        <v>0</v>
      </c>
      <c r="K2113" s="4">
        <f>VLOOKUP(J2113, '1_Rate_Changes'!$A$2:$C$100, 3, TRUE)</f>
        <v>0</v>
      </c>
    </row>
    <row r="2114" spans="7:11">
      <c r="G2114">
        <v>42</v>
      </c>
      <c r="H2114">
        <v>11</v>
      </c>
      <c r="I2114" s="2">
        <f>INT(DATE($B$3,1,1) + (42+0.5)*365/50)</f>
        <v>0</v>
      </c>
      <c r="J2114" s="2">
        <f>I2114 - INT(ROUND($B$4 * 30.4375, 0) * (11+0.5)/50)</f>
        <v>0</v>
      </c>
      <c r="K2114" s="4">
        <f>VLOOKUP(J2114, '1_Rate_Changes'!$A$2:$C$100, 3, TRUE)</f>
        <v>0</v>
      </c>
    </row>
    <row r="2115" spans="7:11">
      <c r="G2115">
        <v>42</v>
      </c>
      <c r="H2115">
        <v>12</v>
      </c>
      <c r="I2115" s="2">
        <f>INT(DATE($B$3,1,1) + (42+0.5)*365/50)</f>
        <v>0</v>
      </c>
      <c r="J2115" s="2">
        <f>I2115 - INT(ROUND($B$4 * 30.4375, 0) * (12+0.5)/50)</f>
        <v>0</v>
      </c>
      <c r="K2115" s="4">
        <f>VLOOKUP(J2115, '1_Rate_Changes'!$A$2:$C$100, 3, TRUE)</f>
        <v>0</v>
      </c>
    </row>
    <row r="2116" spans="7:11">
      <c r="G2116">
        <v>42</v>
      </c>
      <c r="H2116">
        <v>13</v>
      </c>
      <c r="I2116" s="2">
        <f>INT(DATE($B$3,1,1) + (42+0.5)*365/50)</f>
        <v>0</v>
      </c>
      <c r="J2116" s="2">
        <f>I2116 - INT(ROUND($B$4 * 30.4375, 0) * (13+0.5)/50)</f>
        <v>0</v>
      </c>
      <c r="K2116" s="4">
        <f>VLOOKUP(J2116, '1_Rate_Changes'!$A$2:$C$100, 3, TRUE)</f>
        <v>0</v>
      </c>
    </row>
    <row r="2117" spans="7:11">
      <c r="G2117">
        <v>42</v>
      </c>
      <c r="H2117">
        <v>14</v>
      </c>
      <c r="I2117" s="2">
        <f>INT(DATE($B$3,1,1) + (42+0.5)*365/50)</f>
        <v>0</v>
      </c>
      <c r="J2117" s="2">
        <f>I2117 - INT(ROUND($B$4 * 30.4375, 0) * (14+0.5)/50)</f>
        <v>0</v>
      </c>
      <c r="K2117" s="4">
        <f>VLOOKUP(J2117, '1_Rate_Changes'!$A$2:$C$100, 3, TRUE)</f>
        <v>0</v>
      </c>
    </row>
    <row r="2118" spans="7:11">
      <c r="G2118">
        <v>42</v>
      </c>
      <c r="H2118">
        <v>15</v>
      </c>
      <c r="I2118" s="2">
        <f>INT(DATE($B$3,1,1) + (42+0.5)*365/50)</f>
        <v>0</v>
      </c>
      <c r="J2118" s="2">
        <f>I2118 - INT(ROUND($B$4 * 30.4375, 0) * (15+0.5)/50)</f>
        <v>0</v>
      </c>
      <c r="K2118" s="4">
        <f>VLOOKUP(J2118, '1_Rate_Changes'!$A$2:$C$100, 3, TRUE)</f>
        <v>0</v>
      </c>
    </row>
    <row r="2119" spans="7:11">
      <c r="G2119">
        <v>42</v>
      </c>
      <c r="H2119">
        <v>16</v>
      </c>
      <c r="I2119" s="2">
        <f>INT(DATE($B$3,1,1) + (42+0.5)*365/50)</f>
        <v>0</v>
      </c>
      <c r="J2119" s="2">
        <f>I2119 - INT(ROUND($B$4 * 30.4375, 0) * (16+0.5)/50)</f>
        <v>0</v>
      </c>
      <c r="K2119" s="4">
        <f>VLOOKUP(J2119, '1_Rate_Changes'!$A$2:$C$100, 3, TRUE)</f>
        <v>0</v>
      </c>
    </row>
    <row r="2120" spans="7:11">
      <c r="G2120">
        <v>42</v>
      </c>
      <c r="H2120">
        <v>17</v>
      </c>
      <c r="I2120" s="2">
        <f>INT(DATE($B$3,1,1) + (42+0.5)*365/50)</f>
        <v>0</v>
      </c>
      <c r="J2120" s="2">
        <f>I2120 - INT(ROUND($B$4 * 30.4375, 0) * (17+0.5)/50)</f>
        <v>0</v>
      </c>
      <c r="K2120" s="4">
        <f>VLOOKUP(J2120, '1_Rate_Changes'!$A$2:$C$100, 3, TRUE)</f>
        <v>0</v>
      </c>
    </row>
    <row r="2121" spans="7:11">
      <c r="G2121">
        <v>42</v>
      </c>
      <c r="H2121">
        <v>18</v>
      </c>
      <c r="I2121" s="2">
        <f>INT(DATE($B$3,1,1) + (42+0.5)*365/50)</f>
        <v>0</v>
      </c>
      <c r="J2121" s="2">
        <f>I2121 - INT(ROUND($B$4 * 30.4375, 0) * (18+0.5)/50)</f>
        <v>0</v>
      </c>
      <c r="K2121" s="4">
        <f>VLOOKUP(J2121, '1_Rate_Changes'!$A$2:$C$100, 3, TRUE)</f>
        <v>0</v>
      </c>
    </row>
    <row r="2122" spans="7:11">
      <c r="G2122">
        <v>42</v>
      </c>
      <c r="H2122">
        <v>19</v>
      </c>
      <c r="I2122" s="2">
        <f>INT(DATE($B$3,1,1) + (42+0.5)*365/50)</f>
        <v>0</v>
      </c>
      <c r="J2122" s="2">
        <f>I2122 - INT(ROUND($B$4 * 30.4375, 0) * (19+0.5)/50)</f>
        <v>0</v>
      </c>
      <c r="K2122" s="4">
        <f>VLOOKUP(J2122, '1_Rate_Changes'!$A$2:$C$100, 3, TRUE)</f>
        <v>0</v>
      </c>
    </row>
    <row r="2123" spans="7:11">
      <c r="G2123">
        <v>42</v>
      </c>
      <c r="H2123">
        <v>20</v>
      </c>
      <c r="I2123" s="2">
        <f>INT(DATE($B$3,1,1) + (42+0.5)*365/50)</f>
        <v>0</v>
      </c>
      <c r="J2123" s="2">
        <f>I2123 - INT(ROUND($B$4 * 30.4375, 0) * (20+0.5)/50)</f>
        <v>0</v>
      </c>
      <c r="K2123" s="4">
        <f>VLOOKUP(J2123, '1_Rate_Changes'!$A$2:$C$100, 3, TRUE)</f>
        <v>0</v>
      </c>
    </row>
    <row r="2124" spans="7:11">
      <c r="G2124">
        <v>42</v>
      </c>
      <c r="H2124">
        <v>21</v>
      </c>
      <c r="I2124" s="2">
        <f>INT(DATE($B$3,1,1) + (42+0.5)*365/50)</f>
        <v>0</v>
      </c>
      <c r="J2124" s="2">
        <f>I2124 - INT(ROUND($B$4 * 30.4375, 0) * (21+0.5)/50)</f>
        <v>0</v>
      </c>
      <c r="K2124" s="4">
        <f>VLOOKUP(J2124, '1_Rate_Changes'!$A$2:$C$100, 3, TRUE)</f>
        <v>0</v>
      </c>
    </row>
    <row r="2125" spans="7:11">
      <c r="G2125">
        <v>42</v>
      </c>
      <c r="H2125">
        <v>22</v>
      </c>
      <c r="I2125" s="2">
        <f>INT(DATE($B$3,1,1) + (42+0.5)*365/50)</f>
        <v>0</v>
      </c>
      <c r="J2125" s="2">
        <f>I2125 - INT(ROUND($B$4 * 30.4375, 0) * (22+0.5)/50)</f>
        <v>0</v>
      </c>
      <c r="K2125" s="4">
        <f>VLOOKUP(J2125, '1_Rate_Changes'!$A$2:$C$100, 3, TRUE)</f>
        <v>0</v>
      </c>
    </row>
    <row r="2126" spans="7:11">
      <c r="G2126">
        <v>42</v>
      </c>
      <c r="H2126">
        <v>23</v>
      </c>
      <c r="I2126" s="2">
        <f>INT(DATE($B$3,1,1) + (42+0.5)*365/50)</f>
        <v>0</v>
      </c>
      <c r="J2126" s="2">
        <f>I2126 - INT(ROUND($B$4 * 30.4375, 0) * (23+0.5)/50)</f>
        <v>0</v>
      </c>
      <c r="K2126" s="4">
        <f>VLOOKUP(J2126, '1_Rate_Changes'!$A$2:$C$100, 3, TRUE)</f>
        <v>0</v>
      </c>
    </row>
    <row r="2127" spans="7:11">
      <c r="G2127">
        <v>42</v>
      </c>
      <c r="H2127">
        <v>24</v>
      </c>
      <c r="I2127" s="2">
        <f>INT(DATE($B$3,1,1) + (42+0.5)*365/50)</f>
        <v>0</v>
      </c>
      <c r="J2127" s="2">
        <f>I2127 - INT(ROUND($B$4 * 30.4375, 0) * (24+0.5)/50)</f>
        <v>0</v>
      </c>
      <c r="K2127" s="4">
        <f>VLOOKUP(J2127, '1_Rate_Changes'!$A$2:$C$100, 3, TRUE)</f>
        <v>0</v>
      </c>
    </row>
    <row r="2128" spans="7:11">
      <c r="G2128">
        <v>42</v>
      </c>
      <c r="H2128">
        <v>25</v>
      </c>
      <c r="I2128" s="2">
        <f>INT(DATE($B$3,1,1) + (42+0.5)*365/50)</f>
        <v>0</v>
      </c>
      <c r="J2128" s="2">
        <f>I2128 - INT(ROUND($B$4 * 30.4375, 0) * (25+0.5)/50)</f>
        <v>0</v>
      </c>
      <c r="K2128" s="4">
        <f>VLOOKUP(J2128, '1_Rate_Changes'!$A$2:$C$100, 3, TRUE)</f>
        <v>0</v>
      </c>
    </row>
    <row r="2129" spans="7:11">
      <c r="G2129">
        <v>42</v>
      </c>
      <c r="H2129">
        <v>26</v>
      </c>
      <c r="I2129" s="2">
        <f>INT(DATE($B$3,1,1) + (42+0.5)*365/50)</f>
        <v>0</v>
      </c>
      <c r="J2129" s="2">
        <f>I2129 - INT(ROUND($B$4 * 30.4375, 0) * (26+0.5)/50)</f>
        <v>0</v>
      </c>
      <c r="K2129" s="4">
        <f>VLOOKUP(J2129, '1_Rate_Changes'!$A$2:$C$100, 3, TRUE)</f>
        <v>0</v>
      </c>
    </row>
    <row r="2130" spans="7:11">
      <c r="G2130">
        <v>42</v>
      </c>
      <c r="H2130">
        <v>27</v>
      </c>
      <c r="I2130" s="2">
        <f>INT(DATE($B$3,1,1) + (42+0.5)*365/50)</f>
        <v>0</v>
      </c>
      <c r="J2130" s="2">
        <f>I2130 - INT(ROUND($B$4 * 30.4375, 0) * (27+0.5)/50)</f>
        <v>0</v>
      </c>
      <c r="K2130" s="4">
        <f>VLOOKUP(J2130, '1_Rate_Changes'!$A$2:$C$100, 3, TRUE)</f>
        <v>0</v>
      </c>
    </row>
    <row r="2131" spans="7:11">
      <c r="G2131">
        <v>42</v>
      </c>
      <c r="H2131">
        <v>28</v>
      </c>
      <c r="I2131" s="2">
        <f>INT(DATE($B$3,1,1) + (42+0.5)*365/50)</f>
        <v>0</v>
      </c>
      <c r="J2131" s="2">
        <f>I2131 - INT(ROUND($B$4 * 30.4375, 0) * (28+0.5)/50)</f>
        <v>0</v>
      </c>
      <c r="K2131" s="4">
        <f>VLOOKUP(J2131, '1_Rate_Changes'!$A$2:$C$100, 3, TRUE)</f>
        <v>0</v>
      </c>
    </row>
    <row r="2132" spans="7:11">
      <c r="G2132">
        <v>42</v>
      </c>
      <c r="H2132">
        <v>29</v>
      </c>
      <c r="I2132" s="2">
        <f>INT(DATE($B$3,1,1) + (42+0.5)*365/50)</f>
        <v>0</v>
      </c>
      <c r="J2132" s="2">
        <f>I2132 - INT(ROUND($B$4 * 30.4375, 0) * (29+0.5)/50)</f>
        <v>0</v>
      </c>
      <c r="K2132" s="4">
        <f>VLOOKUP(J2132, '1_Rate_Changes'!$A$2:$C$100, 3, TRUE)</f>
        <v>0</v>
      </c>
    </row>
    <row r="2133" spans="7:11">
      <c r="G2133">
        <v>42</v>
      </c>
      <c r="H2133">
        <v>30</v>
      </c>
      <c r="I2133" s="2">
        <f>INT(DATE($B$3,1,1) + (42+0.5)*365/50)</f>
        <v>0</v>
      </c>
      <c r="J2133" s="2">
        <f>I2133 - INT(ROUND($B$4 * 30.4375, 0) * (30+0.5)/50)</f>
        <v>0</v>
      </c>
      <c r="K2133" s="4">
        <f>VLOOKUP(J2133, '1_Rate_Changes'!$A$2:$C$100, 3, TRUE)</f>
        <v>0</v>
      </c>
    </row>
    <row r="2134" spans="7:11">
      <c r="G2134">
        <v>42</v>
      </c>
      <c r="H2134">
        <v>31</v>
      </c>
      <c r="I2134" s="2">
        <f>INT(DATE($B$3,1,1) + (42+0.5)*365/50)</f>
        <v>0</v>
      </c>
      <c r="J2134" s="2">
        <f>I2134 - INT(ROUND($B$4 * 30.4375, 0) * (31+0.5)/50)</f>
        <v>0</v>
      </c>
      <c r="K2134" s="4">
        <f>VLOOKUP(J2134, '1_Rate_Changes'!$A$2:$C$100, 3, TRUE)</f>
        <v>0</v>
      </c>
    </row>
    <row r="2135" spans="7:11">
      <c r="G2135">
        <v>42</v>
      </c>
      <c r="H2135">
        <v>32</v>
      </c>
      <c r="I2135" s="2">
        <f>INT(DATE($B$3,1,1) + (42+0.5)*365/50)</f>
        <v>0</v>
      </c>
      <c r="J2135" s="2">
        <f>I2135 - INT(ROUND($B$4 * 30.4375, 0) * (32+0.5)/50)</f>
        <v>0</v>
      </c>
      <c r="K2135" s="4">
        <f>VLOOKUP(J2135, '1_Rate_Changes'!$A$2:$C$100, 3, TRUE)</f>
        <v>0</v>
      </c>
    </row>
    <row r="2136" spans="7:11">
      <c r="G2136">
        <v>42</v>
      </c>
      <c r="H2136">
        <v>33</v>
      </c>
      <c r="I2136" s="2">
        <f>INT(DATE($B$3,1,1) + (42+0.5)*365/50)</f>
        <v>0</v>
      </c>
      <c r="J2136" s="2">
        <f>I2136 - INT(ROUND($B$4 * 30.4375, 0) * (33+0.5)/50)</f>
        <v>0</v>
      </c>
      <c r="K2136" s="4">
        <f>VLOOKUP(J2136, '1_Rate_Changes'!$A$2:$C$100, 3, TRUE)</f>
        <v>0</v>
      </c>
    </row>
    <row r="2137" spans="7:11">
      <c r="G2137">
        <v>42</v>
      </c>
      <c r="H2137">
        <v>34</v>
      </c>
      <c r="I2137" s="2">
        <f>INT(DATE($B$3,1,1) + (42+0.5)*365/50)</f>
        <v>0</v>
      </c>
      <c r="J2137" s="2">
        <f>I2137 - INT(ROUND($B$4 * 30.4375, 0) * (34+0.5)/50)</f>
        <v>0</v>
      </c>
      <c r="K2137" s="4">
        <f>VLOOKUP(J2137, '1_Rate_Changes'!$A$2:$C$100, 3, TRUE)</f>
        <v>0</v>
      </c>
    </row>
    <row r="2138" spans="7:11">
      <c r="G2138">
        <v>42</v>
      </c>
      <c r="H2138">
        <v>35</v>
      </c>
      <c r="I2138" s="2">
        <f>INT(DATE($B$3,1,1) + (42+0.5)*365/50)</f>
        <v>0</v>
      </c>
      <c r="J2138" s="2">
        <f>I2138 - INT(ROUND($B$4 * 30.4375, 0) * (35+0.5)/50)</f>
        <v>0</v>
      </c>
      <c r="K2138" s="4">
        <f>VLOOKUP(J2138, '1_Rate_Changes'!$A$2:$C$100, 3, TRUE)</f>
        <v>0</v>
      </c>
    </row>
    <row r="2139" spans="7:11">
      <c r="G2139">
        <v>42</v>
      </c>
      <c r="H2139">
        <v>36</v>
      </c>
      <c r="I2139" s="2">
        <f>INT(DATE($B$3,1,1) + (42+0.5)*365/50)</f>
        <v>0</v>
      </c>
      <c r="J2139" s="2">
        <f>I2139 - INT(ROUND($B$4 * 30.4375, 0) * (36+0.5)/50)</f>
        <v>0</v>
      </c>
      <c r="K2139" s="4">
        <f>VLOOKUP(J2139, '1_Rate_Changes'!$A$2:$C$100, 3, TRUE)</f>
        <v>0</v>
      </c>
    </row>
    <row r="2140" spans="7:11">
      <c r="G2140">
        <v>42</v>
      </c>
      <c r="H2140">
        <v>37</v>
      </c>
      <c r="I2140" s="2">
        <f>INT(DATE($B$3,1,1) + (42+0.5)*365/50)</f>
        <v>0</v>
      </c>
      <c r="J2140" s="2">
        <f>I2140 - INT(ROUND($B$4 * 30.4375, 0) * (37+0.5)/50)</f>
        <v>0</v>
      </c>
      <c r="K2140" s="4">
        <f>VLOOKUP(J2140, '1_Rate_Changes'!$A$2:$C$100, 3, TRUE)</f>
        <v>0</v>
      </c>
    </row>
    <row r="2141" spans="7:11">
      <c r="G2141">
        <v>42</v>
      </c>
      <c r="H2141">
        <v>38</v>
      </c>
      <c r="I2141" s="2">
        <f>INT(DATE($B$3,1,1) + (42+0.5)*365/50)</f>
        <v>0</v>
      </c>
      <c r="J2141" s="2">
        <f>I2141 - INT(ROUND($B$4 * 30.4375, 0) * (38+0.5)/50)</f>
        <v>0</v>
      </c>
      <c r="K2141" s="4">
        <f>VLOOKUP(J2141, '1_Rate_Changes'!$A$2:$C$100, 3, TRUE)</f>
        <v>0</v>
      </c>
    </row>
    <row r="2142" spans="7:11">
      <c r="G2142">
        <v>42</v>
      </c>
      <c r="H2142">
        <v>39</v>
      </c>
      <c r="I2142" s="2">
        <f>INT(DATE($B$3,1,1) + (42+0.5)*365/50)</f>
        <v>0</v>
      </c>
      <c r="J2142" s="2">
        <f>I2142 - INT(ROUND($B$4 * 30.4375, 0) * (39+0.5)/50)</f>
        <v>0</v>
      </c>
      <c r="K2142" s="4">
        <f>VLOOKUP(J2142, '1_Rate_Changes'!$A$2:$C$100, 3, TRUE)</f>
        <v>0</v>
      </c>
    </row>
    <row r="2143" spans="7:11">
      <c r="G2143">
        <v>42</v>
      </c>
      <c r="H2143">
        <v>40</v>
      </c>
      <c r="I2143" s="2">
        <f>INT(DATE($B$3,1,1) + (42+0.5)*365/50)</f>
        <v>0</v>
      </c>
      <c r="J2143" s="2">
        <f>I2143 - INT(ROUND($B$4 * 30.4375, 0) * (40+0.5)/50)</f>
        <v>0</v>
      </c>
      <c r="K2143" s="4">
        <f>VLOOKUP(J2143, '1_Rate_Changes'!$A$2:$C$100, 3, TRUE)</f>
        <v>0</v>
      </c>
    </row>
    <row r="2144" spans="7:11">
      <c r="G2144">
        <v>42</v>
      </c>
      <c r="H2144">
        <v>41</v>
      </c>
      <c r="I2144" s="2">
        <f>INT(DATE($B$3,1,1) + (42+0.5)*365/50)</f>
        <v>0</v>
      </c>
      <c r="J2144" s="2">
        <f>I2144 - INT(ROUND($B$4 * 30.4375, 0) * (41+0.5)/50)</f>
        <v>0</v>
      </c>
      <c r="K2144" s="4">
        <f>VLOOKUP(J2144, '1_Rate_Changes'!$A$2:$C$100, 3, TRUE)</f>
        <v>0</v>
      </c>
    </row>
    <row r="2145" spans="7:11">
      <c r="G2145">
        <v>42</v>
      </c>
      <c r="H2145">
        <v>42</v>
      </c>
      <c r="I2145" s="2">
        <f>INT(DATE($B$3,1,1) + (42+0.5)*365/50)</f>
        <v>0</v>
      </c>
      <c r="J2145" s="2">
        <f>I2145 - INT(ROUND($B$4 * 30.4375, 0) * (42+0.5)/50)</f>
        <v>0</v>
      </c>
      <c r="K2145" s="4">
        <f>VLOOKUP(J2145, '1_Rate_Changes'!$A$2:$C$100, 3, TRUE)</f>
        <v>0</v>
      </c>
    </row>
    <row r="2146" spans="7:11">
      <c r="G2146">
        <v>42</v>
      </c>
      <c r="H2146">
        <v>43</v>
      </c>
      <c r="I2146" s="2">
        <f>INT(DATE($B$3,1,1) + (42+0.5)*365/50)</f>
        <v>0</v>
      </c>
      <c r="J2146" s="2">
        <f>I2146 - INT(ROUND($B$4 * 30.4375, 0) * (43+0.5)/50)</f>
        <v>0</v>
      </c>
      <c r="K2146" s="4">
        <f>VLOOKUP(J2146, '1_Rate_Changes'!$A$2:$C$100, 3, TRUE)</f>
        <v>0</v>
      </c>
    </row>
    <row r="2147" spans="7:11">
      <c r="G2147">
        <v>42</v>
      </c>
      <c r="H2147">
        <v>44</v>
      </c>
      <c r="I2147" s="2">
        <f>INT(DATE($B$3,1,1) + (42+0.5)*365/50)</f>
        <v>0</v>
      </c>
      <c r="J2147" s="2">
        <f>I2147 - INT(ROUND($B$4 * 30.4375, 0) * (44+0.5)/50)</f>
        <v>0</v>
      </c>
      <c r="K2147" s="4">
        <f>VLOOKUP(J2147, '1_Rate_Changes'!$A$2:$C$100, 3, TRUE)</f>
        <v>0</v>
      </c>
    </row>
    <row r="2148" spans="7:11">
      <c r="G2148">
        <v>42</v>
      </c>
      <c r="H2148">
        <v>45</v>
      </c>
      <c r="I2148" s="2">
        <f>INT(DATE($B$3,1,1) + (42+0.5)*365/50)</f>
        <v>0</v>
      </c>
      <c r="J2148" s="2">
        <f>I2148 - INT(ROUND($B$4 * 30.4375, 0) * (45+0.5)/50)</f>
        <v>0</v>
      </c>
      <c r="K2148" s="4">
        <f>VLOOKUP(J2148, '1_Rate_Changes'!$A$2:$C$100, 3, TRUE)</f>
        <v>0</v>
      </c>
    </row>
    <row r="2149" spans="7:11">
      <c r="G2149">
        <v>42</v>
      </c>
      <c r="H2149">
        <v>46</v>
      </c>
      <c r="I2149" s="2">
        <f>INT(DATE($B$3,1,1) + (42+0.5)*365/50)</f>
        <v>0</v>
      </c>
      <c r="J2149" s="2">
        <f>I2149 - INT(ROUND($B$4 * 30.4375, 0) * (46+0.5)/50)</f>
        <v>0</v>
      </c>
      <c r="K2149" s="4">
        <f>VLOOKUP(J2149, '1_Rate_Changes'!$A$2:$C$100, 3, TRUE)</f>
        <v>0</v>
      </c>
    </row>
    <row r="2150" spans="7:11">
      <c r="G2150">
        <v>42</v>
      </c>
      <c r="H2150">
        <v>47</v>
      </c>
      <c r="I2150" s="2">
        <f>INT(DATE($B$3,1,1) + (42+0.5)*365/50)</f>
        <v>0</v>
      </c>
      <c r="J2150" s="2">
        <f>I2150 - INT(ROUND($B$4 * 30.4375, 0) * (47+0.5)/50)</f>
        <v>0</v>
      </c>
      <c r="K2150" s="4">
        <f>VLOOKUP(J2150, '1_Rate_Changes'!$A$2:$C$100, 3, TRUE)</f>
        <v>0</v>
      </c>
    </row>
    <row r="2151" spans="7:11">
      <c r="G2151">
        <v>42</v>
      </c>
      <c r="H2151">
        <v>48</v>
      </c>
      <c r="I2151" s="2">
        <f>INT(DATE($B$3,1,1) + (42+0.5)*365/50)</f>
        <v>0</v>
      </c>
      <c r="J2151" s="2">
        <f>I2151 - INT(ROUND($B$4 * 30.4375, 0) * (48+0.5)/50)</f>
        <v>0</v>
      </c>
      <c r="K2151" s="4">
        <f>VLOOKUP(J2151, '1_Rate_Changes'!$A$2:$C$100, 3, TRUE)</f>
        <v>0</v>
      </c>
    </row>
    <row r="2152" spans="7:11">
      <c r="G2152">
        <v>42</v>
      </c>
      <c r="H2152">
        <v>49</v>
      </c>
      <c r="I2152" s="2">
        <f>INT(DATE($B$3,1,1) + (42+0.5)*365/50)</f>
        <v>0</v>
      </c>
      <c r="J2152" s="2">
        <f>I2152 - INT(ROUND($B$4 * 30.4375, 0) * (49+0.5)/50)</f>
        <v>0</v>
      </c>
      <c r="K2152" s="4">
        <f>VLOOKUP(J2152, '1_Rate_Changes'!$A$2:$C$100, 3, TRUE)</f>
        <v>0</v>
      </c>
    </row>
    <row r="2153" spans="7:11">
      <c r="G2153">
        <v>43</v>
      </c>
      <c r="H2153">
        <v>0</v>
      </c>
      <c r="I2153" s="2">
        <f>INT(DATE($B$3,1,1) + (43+0.5)*365/50)</f>
        <v>0</v>
      </c>
      <c r="J2153" s="2">
        <f>I2153 - INT(ROUND($B$4 * 30.4375, 0) * (0+0.5)/50)</f>
        <v>0</v>
      </c>
      <c r="K2153" s="4">
        <f>VLOOKUP(J2153, '1_Rate_Changes'!$A$2:$C$100, 3, TRUE)</f>
        <v>0</v>
      </c>
    </row>
    <row r="2154" spans="7:11">
      <c r="G2154">
        <v>43</v>
      </c>
      <c r="H2154">
        <v>1</v>
      </c>
      <c r="I2154" s="2">
        <f>INT(DATE($B$3,1,1) + (43+0.5)*365/50)</f>
        <v>0</v>
      </c>
      <c r="J2154" s="2">
        <f>I2154 - INT(ROUND($B$4 * 30.4375, 0) * (1+0.5)/50)</f>
        <v>0</v>
      </c>
      <c r="K2154" s="4">
        <f>VLOOKUP(J2154, '1_Rate_Changes'!$A$2:$C$100, 3, TRUE)</f>
        <v>0</v>
      </c>
    </row>
    <row r="2155" spans="7:11">
      <c r="G2155">
        <v>43</v>
      </c>
      <c r="H2155">
        <v>2</v>
      </c>
      <c r="I2155" s="2">
        <f>INT(DATE($B$3,1,1) + (43+0.5)*365/50)</f>
        <v>0</v>
      </c>
      <c r="J2155" s="2">
        <f>I2155 - INT(ROUND($B$4 * 30.4375, 0) * (2+0.5)/50)</f>
        <v>0</v>
      </c>
      <c r="K2155" s="4">
        <f>VLOOKUP(J2155, '1_Rate_Changes'!$A$2:$C$100, 3, TRUE)</f>
        <v>0</v>
      </c>
    </row>
    <row r="2156" spans="7:11">
      <c r="G2156">
        <v>43</v>
      </c>
      <c r="H2156">
        <v>3</v>
      </c>
      <c r="I2156" s="2">
        <f>INT(DATE($B$3,1,1) + (43+0.5)*365/50)</f>
        <v>0</v>
      </c>
      <c r="J2156" s="2">
        <f>I2156 - INT(ROUND($B$4 * 30.4375, 0) * (3+0.5)/50)</f>
        <v>0</v>
      </c>
      <c r="K2156" s="4">
        <f>VLOOKUP(J2156, '1_Rate_Changes'!$A$2:$C$100, 3, TRUE)</f>
        <v>0</v>
      </c>
    </row>
    <row r="2157" spans="7:11">
      <c r="G2157">
        <v>43</v>
      </c>
      <c r="H2157">
        <v>4</v>
      </c>
      <c r="I2157" s="2">
        <f>INT(DATE($B$3,1,1) + (43+0.5)*365/50)</f>
        <v>0</v>
      </c>
      <c r="J2157" s="2">
        <f>I2157 - INT(ROUND($B$4 * 30.4375, 0) * (4+0.5)/50)</f>
        <v>0</v>
      </c>
      <c r="K2157" s="4">
        <f>VLOOKUP(J2157, '1_Rate_Changes'!$A$2:$C$100, 3, TRUE)</f>
        <v>0</v>
      </c>
    </row>
    <row r="2158" spans="7:11">
      <c r="G2158">
        <v>43</v>
      </c>
      <c r="H2158">
        <v>5</v>
      </c>
      <c r="I2158" s="2">
        <f>INT(DATE($B$3,1,1) + (43+0.5)*365/50)</f>
        <v>0</v>
      </c>
      <c r="J2158" s="2">
        <f>I2158 - INT(ROUND($B$4 * 30.4375, 0) * (5+0.5)/50)</f>
        <v>0</v>
      </c>
      <c r="K2158" s="4">
        <f>VLOOKUP(J2158, '1_Rate_Changes'!$A$2:$C$100, 3, TRUE)</f>
        <v>0</v>
      </c>
    </row>
    <row r="2159" spans="7:11">
      <c r="G2159">
        <v>43</v>
      </c>
      <c r="H2159">
        <v>6</v>
      </c>
      <c r="I2159" s="2">
        <f>INT(DATE($B$3,1,1) + (43+0.5)*365/50)</f>
        <v>0</v>
      </c>
      <c r="J2159" s="2">
        <f>I2159 - INT(ROUND($B$4 * 30.4375, 0) * (6+0.5)/50)</f>
        <v>0</v>
      </c>
      <c r="K2159" s="4">
        <f>VLOOKUP(J2159, '1_Rate_Changes'!$A$2:$C$100, 3, TRUE)</f>
        <v>0</v>
      </c>
    </row>
    <row r="2160" spans="7:11">
      <c r="G2160">
        <v>43</v>
      </c>
      <c r="H2160">
        <v>7</v>
      </c>
      <c r="I2160" s="2">
        <f>INT(DATE($B$3,1,1) + (43+0.5)*365/50)</f>
        <v>0</v>
      </c>
      <c r="J2160" s="2">
        <f>I2160 - INT(ROUND($B$4 * 30.4375, 0) * (7+0.5)/50)</f>
        <v>0</v>
      </c>
      <c r="K2160" s="4">
        <f>VLOOKUP(J2160, '1_Rate_Changes'!$A$2:$C$100, 3, TRUE)</f>
        <v>0</v>
      </c>
    </row>
    <row r="2161" spans="7:11">
      <c r="G2161">
        <v>43</v>
      </c>
      <c r="H2161">
        <v>8</v>
      </c>
      <c r="I2161" s="2">
        <f>INT(DATE($B$3,1,1) + (43+0.5)*365/50)</f>
        <v>0</v>
      </c>
      <c r="J2161" s="2">
        <f>I2161 - INT(ROUND($B$4 * 30.4375, 0) * (8+0.5)/50)</f>
        <v>0</v>
      </c>
      <c r="K2161" s="4">
        <f>VLOOKUP(J2161, '1_Rate_Changes'!$A$2:$C$100, 3, TRUE)</f>
        <v>0</v>
      </c>
    </row>
    <row r="2162" spans="7:11">
      <c r="G2162">
        <v>43</v>
      </c>
      <c r="H2162">
        <v>9</v>
      </c>
      <c r="I2162" s="2">
        <f>INT(DATE($B$3,1,1) + (43+0.5)*365/50)</f>
        <v>0</v>
      </c>
      <c r="J2162" s="2">
        <f>I2162 - INT(ROUND($B$4 * 30.4375, 0) * (9+0.5)/50)</f>
        <v>0</v>
      </c>
      <c r="K2162" s="4">
        <f>VLOOKUP(J2162, '1_Rate_Changes'!$A$2:$C$100, 3, TRUE)</f>
        <v>0</v>
      </c>
    </row>
    <row r="2163" spans="7:11">
      <c r="G2163">
        <v>43</v>
      </c>
      <c r="H2163">
        <v>10</v>
      </c>
      <c r="I2163" s="2">
        <f>INT(DATE($B$3,1,1) + (43+0.5)*365/50)</f>
        <v>0</v>
      </c>
      <c r="J2163" s="2">
        <f>I2163 - INT(ROUND($B$4 * 30.4375, 0) * (10+0.5)/50)</f>
        <v>0</v>
      </c>
      <c r="K2163" s="4">
        <f>VLOOKUP(J2163, '1_Rate_Changes'!$A$2:$C$100, 3, TRUE)</f>
        <v>0</v>
      </c>
    </row>
    <row r="2164" spans="7:11">
      <c r="G2164">
        <v>43</v>
      </c>
      <c r="H2164">
        <v>11</v>
      </c>
      <c r="I2164" s="2">
        <f>INT(DATE($B$3,1,1) + (43+0.5)*365/50)</f>
        <v>0</v>
      </c>
      <c r="J2164" s="2">
        <f>I2164 - INT(ROUND($B$4 * 30.4375, 0) * (11+0.5)/50)</f>
        <v>0</v>
      </c>
      <c r="K2164" s="4">
        <f>VLOOKUP(J2164, '1_Rate_Changes'!$A$2:$C$100, 3, TRUE)</f>
        <v>0</v>
      </c>
    </row>
    <row r="2165" spans="7:11">
      <c r="G2165">
        <v>43</v>
      </c>
      <c r="H2165">
        <v>12</v>
      </c>
      <c r="I2165" s="2">
        <f>INT(DATE($B$3,1,1) + (43+0.5)*365/50)</f>
        <v>0</v>
      </c>
      <c r="J2165" s="2">
        <f>I2165 - INT(ROUND($B$4 * 30.4375, 0) * (12+0.5)/50)</f>
        <v>0</v>
      </c>
      <c r="K2165" s="4">
        <f>VLOOKUP(J2165, '1_Rate_Changes'!$A$2:$C$100, 3, TRUE)</f>
        <v>0</v>
      </c>
    </row>
    <row r="2166" spans="7:11">
      <c r="G2166">
        <v>43</v>
      </c>
      <c r="H2166">
        <v>13</v>
      </c>
      <c r="I2166" s="2">
        <f>INT(DATE($B$3,1,1) + (43+0.5)*365/50)</f>
        <v>0</v>
      </c>
      <c r="J2166" s="2">
        <f>I2166 - INT(ROUND($B$4 * 30.4375, 0) * (13+0.5)/50)</f>
        <v>0</v>
      </c>
      <c r="K2166" s="4">
        <f>VLOOKUP(J2166, '1_Rate_Changes'!$A$2:$C$100, 3, TRUE)</f>
        <v>0</v>
      </c>
    </row>
    <row r="2167" spans="7:11">
      <c r="G2167">
        <v>43</v>
      </c>
      <c r="H2167">
        <v>14</v>
      </c>
      <c r="I2167" s="2">
        <f>INT(DATE($B$3,1,1) + (43+0.5)*365/50)</f>
        <v>0</v>
      </c>
      <c r="J2167" s="2">
        <f>I2167 - INT(ROUND($B$4 * 30.4375, 0) * (14+0.5)/50)</f>
        <v>0</v>
      </c>
      <c r="K2167" s="4">
        <f>VLOOKUP(J2167, '1_Rate_Changes'!$A$2:$C$100, 3, TRUE)</f>
        <v>0</v>
      </c>
    </row>
    <row r="2168" spans="7:11">
      <c r="G2168">
        <v>43</v>
      </c>
      <c r="H2168">
        <v>15</v>
      </c>
      <c r="I2168" s="2">
        <f>INT(DATE($B$3,1,1) + (43+0.5)*365/50)</f>
        <v>0</v>
      </c>
      <c r="J2168" s="2">
        <f>I2168 - INT(ROUND($B$4 * 30.4375, 0) * (15+0.5)/50)</f>
        <v>0</v>
      </c>
      <c r="K2168" s="4">
        <f>VLOOKUP(J2168, '1_Rate_Changes'!$A$2:$C$100, 3, TRUE)</f>
        <v>0</v>
      </c>
    </row>
    <row r="2169" spans="7:11">
      <c r="G2169">
        <v>43</v>
      </c>
      <c r="H2169">
        <v>16</v>
      </c>
      <c r="I2169" s="2">
        <f>INT(DATE($B$3,1,1) + (43+0.5)*365/50)</f>
        <v>0</v>
      </c>
      <c r="J2169" s="2">
        <f>I2169 - INT(ROUND($B$4 * 30.4375, 0) * (16+0.5)/50)</f>
        <v>0</v>
      </c>
      <c r="K2169" s="4">
        <f>VLOOKUP(J2169, '1_Rate_Changes'!$A$2:$C$100, 3, TRUE)</f>
        <v>0</v>
      </c>
    </row>
    <row r="2170" spans="7:11">
      <c r="G2170">
        <v>43</v>
      </c>
      <c r="H2170">
        <v>17</v>
      </c>
      <c r="I2170" s="2">
        <f>INT(DATE($B$3,1,1) + (43+0.5)*365/50)</f>
        <v>0</v>
      </c>
      <c r="J2170" s="2">
        <f>I2170 - INT(ROUND($B$4 * 30.4375, 0) * (17+0.5)/50)</f>
        <v>0</v>
      </c>
      <c r="K2170" s="4">
        <f>VLOOKUP(J2170, '1_Rate_Changes'!$A$2:$C$100, 3, TRUE)</f>
        <v>0</v>
      </c>
    </row>
    <row r="2171" spans="7:11">
      <c r="G2171">
        <v>43</v>
      </c>
      <c r="H2171">
        <v>18</v>
      </c>
      <c r="I2171" s="2">
        <f>INT(DATE($B$3,1,1) + (43+0.5)*365/50)</f>
        <v>0</v>
      </c>
      <c r="J2171" s="2">
        <f>I2171 - INT(ROUND($B$4 * 30.4375, 0) * (18+0.5)/50)</f>
        <v>0</v>
      </c>
      <c r="K2171" s="4">
        <f>VLOOKUP(J2171, '1_Rate_Changes'!$A$2:$C$100, 3, TRUE)</f>
        <v>0</v>
      </c>
    </row>
    <row r="2172" spans="7:11">
      <c r="G2172">
        <v>43</v>
      </c>
      <c r="H2172">
        <v>19</v>
      </c>
      <c r="I2172" s="2">
        <f>INT(DATE($B$3,1,1) + (43+0.5)*365/50)</f>
        <v>0</v>
      </c>
      <c r="J2172" s="2">
        <f>I2172 - INT(ROUND($B$4 * 30.4375, 0) * (19+0.5)/50)</f>
        <v>0</v>
      </c>
      <c r="K2172" s="4">
        <f>VLOOKUP(J2172, '1_Rate_Changes'!$A$2:$C$100, 3, TRUE)</f>
        <v>0</v>
      </c>
    </row>
    <row r="2173" spans="7:11">
      <c r="G2173">
        <v>43</v>
      </c>
      <c r="H2173">
        <v>20</v>
      </c>
      <c r="I2173" s="2">
        <f>INT(DATE($B$3,1,1) + (43+0.5)*365/50)</f>
        <v>0</v>
      </c>
      <c r="J2173" s="2">
        <f>I2173 - INT(ROUND($B$4 * 30.4375, 0) * (20+0.5)/50)</f>
        <v>0</v>
      </c>
      <c r="K2173" s="4">
        <f>VLOOKUP(J2173, '1_Rate_Changes'!$A$2:$C$100, 3, TRUE)</f>
        <v>0</v>
      </c>
    </row>
    <row r="2174" spans="7:11">
      <c r="G2174">
        <v>43</v>
      </c>
      <c r="H2174">
        <v>21</v>
      </c>
      <c r="I2174" s="2">
        <f>INT(DATE($B$3,1,1) + (43+0.5)*365/50)</f>
        <v>0</v>
      </c>
      <c r="J2174" s="2">
        <f>I2174 - INT(ROUND($B$4 * 30.4375, 0) * (21+0.5)/50)</f>
        <v>0</v>
      </c>
      <c r="K2174" s="4">
        <f>VLOOKUP(J2174, '1_Rate_Changes'!$A$2:$C$100, 3, TRUE)</f>
        <v>0</v>
      </c>
    </row>
    <row r="2175" spans="7:11">
      <c r="G2175">
        <v>43</v>
      </c>
      <c r="H2175">
        <v>22</v>
      </c>
      <c r="I2175" s="2">
        <f>INT(DATE($B$3,1,1) + (43+0.5)*365/50)</f>
        <v>0</v>
      </c>
      <c r="J2175" s="2">
        <f>I2175 - INT(ROUND($B$4 * 30.4375, 0) * (22+0.5)/50)</f>
        <v>0</v>
      </c>
      <c r="K2175" s="4">
        <f>VLOOKUP(J2175, '1_Rate_Changes'!$A$2:$C$100, 3, TRUE)</f>
        <v>0</v>
      </c>
    </row>
    <row r="2176" spans="7:11">
      <c r="G2176">
        <v>43</v>
      </c>
      <c r="H2176">
        <v>23</v>
      </c>
      <c r="I2176" s="2">
        <f>INT(DATE($B$3,1,1) + (43+0.5)*365/50)</f>
        <v>0</v>
      </c>
      <c r="J2176" s="2">
        <f>I2176 - INT(ROUND($B$4 * 30.4375, 0) * (23+0.5)/50)</f>
        <v>0</v>
      </c>
      <c r="K2176" s="4">
        <f>VLOOKUP(J2176, '1_Rate_Changes'!$A$2:$C$100, 3, TRUE)</f>
        <v>0</v>
      </c>
    </row>
    <row r="2177" spans="7:11">
      <c r="G2177">
        <v>43</v>
      </c>
      <c r="H2177">
        <v>24</v>
      </c>
      <c r="I2177" s="2">
        <f>INT(DATE($B$3,1,1) + (43+0.5)*365/50)</f>
        <v>0</v>
      </c>
      <c r="J2177" s="2">
        <f>I2177 - INT(ROUND($B$4 * 30.4375, 0) * (24+0.5)/50)</f>
        <v>0</v>
      </c>
      <c r="K2177" s="4">
        <f>VLOOKUP(J2177, '1_Rate_Changes'!$A$2:$C$100, 3, TRUE)</f>
        <v>0</v>
      </c>
    </row>
    <row r="2178" spans="7:11">
      <c r="G2178">
        <v>43</v>
      </c>
      <c r="H2178">
        <v>25</v>
      </c>
      <c r="I2178" s="2">
        <f>INT(DATE($B$3,1,1) + (43+0.5)*365/50)</f>
        <v>0</v>
      </c>
      <c r="J2178" s="2">
        <f>I2178 - INT(ROUND($B$4 * 30.4375, 0) * (25+0.5)/50)</f>
        <v>0</v>
      </c>
      <c r="K2178" s="4">
        <f>VLOOKUP(J2178, '1_Rate_Changes'!$A$2:$C$100, 3, TRUE)</f>
        <v>0</v>
      </c>
    </row>
    <row r="2179" spans="7:11">
      <c r="G2179">
        <v>43</v>
      </c>
      <c r="H2179">
        <v>26</v>
      </c>
      <c r="I2179" s="2">
        <f>INT(DATE($B$3,1,1) + (43+0.5)*365/50)</f>
        <v>0</v>
      </c>
      <c r="J2179" s="2">
        <f>I2179 - INT(ROUND($B$4 * 30.4375, 0) * (26+0.5)/50)</f>
        <v>0</v>
      </c>
      <c r="K2179" s="4">
        <f>VLOOKUP(J2179, '1_Rate_Changes'!$A$2:$C$100, 3, TRUE)</f>
        <v>0</v>
      </c>
    </row>
    <row r="2180" spans="7:11">
      <c r="G2180">
        <v>43</v>
      </c>
      <c r="H2180">
        <v>27</v>
      </c>
      <c r="I2180" s="2">
        <f>INT(DATE($B$3,1,1) + (43+0.5)*365/50)</f>
        <v>0</v>
      </c>
      <c r="J2180" s="2">
        <f>I2180 - INT(ROUND($B$4 * 30.4375, 0) * (27+0.5)/50)</f>
        <v>0</v>
      </c>
      <c r="K2180" s="4">
        <f>VLOOKUP(J2180, '1_Rate_Changes'!$A$2:$C$100, 3, TRUE)</f>
        <v>0</v>
      </c>
    </row>
    <row r="2181" spans="7:11">
      <c r="G2181">
        <v>43</v>
      </c>
      <c r="H2181">
        <v>28</v>
      </c>
      <c r="I2181" s="2">
        <f>INT(DATE($B$3,1,1) + (43+0.5)*365/50)</f>
        <v>0</v>
      </c>
      <c r="J2181" s="2">
        <f>I2181 - INT(ROUND($B$4 * 30.4375, 0) * (28+0.5)/50)</f>
        <v>0</v>
      </c>
      <c r="K2181" s="4">
        <f>VLOOKUP(J2181, '1_Rate_Changes'!$A$2:$C$100, 3, TRUE)</f>
        <v>0</v>
      </c>
    </row>
    <row r="2182" spans="7:11">
      <c r="G2182">
        <v>43</v>
      </c>
      <c r="H2182">
        <v>29</v>
      </c>
      <c r="I2182" s="2">
        <f>INT(DATE($B$3,1,1) + (43+0.5)*365/50)</f>
        <v>0</v>
      </c>
      <c r="J2182" s="2">
        <f>I2182 - INT(ROUND($B$4 * 30.4375, 0) * (29+0.5)/50)</f>
        <v>0</v>
      </c>
      <c r="K2182" s="4">
        <f>VLOOKUP(J2182, '1_Rate_Changes'!$A$2:$C$100, 3, TRUE)</f>
        <v>0</v>
      </c>
    </row>
    <row r="2183" spans="7:11">
      <c r="G2183">
        <v>43</v>
      </c>
      <c r="H2183">
        <v>30</v>
      </c>
      <c r="I2183" s="2">
        <f>INT(DATE($B$3,1,1) + (43+0.5)*365/50)</f>
        <v>0</v>
      </c>
      <c r="J2183" s="2">
        <f>I2183 - INT(ROUND($B$4 * 30.4375, 0) * (30+0.5)/50)</f>
        <v>0</v>
      </c>
      <c r="K2183" s="4">
        <f>VLOOKUP(J2183, '1_Rate_Changes'!$A$2:$C$100, 3, TRUE)</f>
        <v>0</v>
      </c>
    </row>
    <row r="2184" spans="7:11">
      <c r="G2184">
        <v>43</v>
      </c>
      <c r="H2184">
        <v>31</v>
      </c>
      <c r="I2184" s="2">
        <f>INT(DATE($B$3,1,1) + (43+0.5)*365/50)</f>
        <v>0</v>
      </c>
      <c r="J2184" s="2">
        <f>I2184 - INT(ROUND($B$4 * 30.4375, 0) * (31+0.5)/50)</f>
        <v>0</v>
      </c>
      <c r="K2184" s="4">
        <f>VLOOKUP(J2184, '1_Rate_Changes'!$A$2:$C$100, 3, TRUE)</f>
        <v>0</v>
      </c>
    </row>
    <row r="2185" spans="7:11">
      <c r="G2185">
        <v>43</v>
      </c>
      <c r="H2185">
        <v>32</v>
      </c>
      <c r="I2185" s="2">
        <f>INT(DATE($B$3,1,1) + (43+0.5)*365/50)</f>
        <v>0</v>
      </c>
      <c r="J2185" s="2">
        <f>I2185 - INT(ROUND($B$4 * 30.4375, 0) * (32+0.5)/50)</f>
        <v>0</v>
      </c>
      <c r="K2185" s="4">
        <f>VLOOKUP(J2185, '1_Rate_Changes'!$A$2:$C$100, 3, TRUE)</f>
        <v>0</v>
      </c>
    </row>
    <row r="2186" spans="7:11">
      <c r="G2186">
        <v>43</v>
      </c>
      <c r="H2186">
        <v>33</v>
      </c>
      <c r="I2186" s="2">
        <f>INT(DATE($B$3,1,1) + (43+0.5)*365/50)</f>
        <v>0</v>
      </c>
      <c r="J2186" s="2">
        <f>I2186 - INT(ROUND($B$4 * 30.4375, 0) * (33+0.5)/50)</f>
        <v>0</v>
      </c>
      <c r="K2186" s="4">
        <f>VLOOKUP(J2186, '1_Rate_Changes'!$A$2:$C$100, 3, TRUE)</f>
        <v>0</v>
      </c>
    </row>
    <row r="2187" spans="7:11">
      <c r="G2187">
        <v>43</v>
      </c>
      <c r="H2187">
        <v>34</v>
      </c>
      <c r="I2187" s="2">
        <f>INT(DATE($B$3,1,1) + (43+0.5)*365/50)</f>
        <v>0</v>
      </c>
      <c r="J2187" s="2">
        <f>I2187 - INT(ROUND($B$4 * 30.4375, 0) * (34+0.5)/50)</f>
        <v>0</v>
      </c>
      <c r="K2187" s="4">
        <f>VLOOKUP(J2187, '1_Rate_Changes'!$A$2:$C$100, 3, TRUE)</f>
        <v>0</v>
      </c>
    </row>
    <row r="2188" spans="7:11">
      <c r="G2188">
        <v>43</v>
      </c>
      <c r="H2188">
        <v>35</v>
      </c>
      <c r="I2188" s="2">
        <f>INT(DATE($B$3,1,1) + (43+0.5)*365/50)</f>
        <v>0</v>
      </c>
      <c r="J2188" s="2">
        <f>I2188 - INT(ROUND($B$4 * 30.4375, 0) * (35+0.5)/50)</f>
        <v>0</v>
      </c>
      <c r="K2188" s="4">
        <f>VLOOKUP(J2188, '1_Rate_Changes'!$A$2:$C$100, 3, TRUE)</f>
        <v>0</v>
      </c>
    </row>
    <row r="2189" spans="7:11">
      <c r="G2189">
        <v>43</v>
      </c>
      <c r="H2189">
        <v>36</v>
      </c>
      <c r="I2189" s="2">
        <f>INT(DATE($B$3,1,1) + (43+0.5)*365/50)</f>
        <v>0</v>
      </c>
      <c r="J2189" s="2">
        <f>I2189 - INT(ROUND($B$4 * 30.4375, 0) * (36+0.5)/50)</f>
        <v>0</v>
      </c>
      <c r="K2189" s="4">
        <f>VLOOKUP(J2189, '1_Rate_Changes'!$A$2:$C$100, 3, TRUE)</f>
        <v>0</v>
      </c>
    </row>
    <row r="2190" spans="7:11">
      <c r="G2190">
        <v>43</v>
      </c>
      <c r="H2190">
        <v>37</v>
      </c>
      <c r="I2190" s="2">
        <f>INT(DATE($B$3,1,1) + (43+0.5)*365/50)</f>
        <v>0</v>
      </c>
      <c r="J2190" s="2">
        <f>I2190 - INT(ROUND($B$4 * 30.4375, 0) * (37+0.5)/50)</f>
        <v>0</v>
      </c>
      <c r="K2190" s="4">
        <f>VLOOKUP(J2190, '1_Rate_Changes'!$A$2:$C$100, 3, TRUE)</f>
        <v>0</v>
      </c>
    </row>
    <row r="2191" spans="7:11">
      <c r="G2191">
        <v>43</v>
      </c>
      <c r="H2191">
        <v>38</v>
      </c>
      <c r="I2191" s="2">
        <f>INT(DATE($B$3,1,1) + (43+0.5)*365/50)</f>
        <v>0</v>
      </c>
      <c r="J2191" s="2">
        <f>I2191 - INT(ROUND($B$4 * 30.4375, 0) * (38+0.5)/50)</f>
        <v>0</v>
      </c>
      <c r="K2191" s="4">
        <f>VLOOKUP(J2191, '1_Rate_Changes'!$A$2:$C$100, 3, TRUE)</f>
        <v>0</v>
      </c>
    </row>
    <row r="2192" spans="7:11">
      <c r="G2192">
        <v>43</v>
      </c>
      <c r="H2192">
        <v>39</v>
      </c>
      <c r="I2192" s="2">
        <f>INT(DATE($B$3,1,1) + (43+0.5)*365/50)</f>
        <v>0</v>
      </c>
      <c r="J2192" s="2">
        <f>I2192 - INT(ROUND($B$4 * 30.4375, 0) * (39+0.5)/50)</f>
        <v>0</v>
      </c>
      <c r="K2192" s="4">
        <f>VLOOKUP(J2192, '1_Rate_Changes'!$A$2:$C$100, 3, TRUE)</f>
        <v>0</v>
      </c>
    </row>
    <row r="2193" spans="7:11">
      <c r="G2193">
        <v>43</v>
      </c>
      <c r="H2193">
        <v>40</v>
      </c>
      <c r="I2193" s="2">
        <f>INT(DATE($B$3,1,1) + (43+0.5)*365/50)</f>
        <v>0</v>
      </c>
      <c r="J2193" s="2">
        <f>I2193 - INT(ROUND($B$4 * 30.4375, 0) * (40+0.5)/50)</f>
        <v>0</v>
      </c>
      <c r="K2193" s="4">
        <f>VLOOKUP(J2193, '1_Rate_Changes'!$A$2:$C$100, 3, TRUE)</f>
        <v>0</v>
      </c>
    </row>
    <row r="2194" spans="7:11">
      <c r="G2194">
        <v>43</v>
      </c>
      <c r="H2194">
        <v>41</v>
      </c>
      <c r="I2194" s="2">
        <f>INT(DATE($B$3,1,1) + (43+0.5)*365/50)</f>
        <v>0</v>
      </c>
      <c r="J2194" s="2">
        <f>I2194 - INT(ROUND($B$4 * 30.4375, 0) * (41+0.5)/50)</f>
        <v>0</v>
      </c>
      <c r="K2194" s="4">
        <f>VLOOKUP(J2194, '1_Rate_Changes'!$A$2:$C$100, 3, TRUE)</f>
        <v>0</v>
      </c>
    </row>
    <row r="2195" spans="7:11">
      <c r="G2195">
        <v>43</v>
      </c>
      <c r="H2195">
        <v>42</v>
      </c>
      <c r="I2195" s="2">
        <f>INT(DATE($B$3,1,1) + (43+0.5)*365/50)</f>
        <v>0</v>
      </c>
      <c r="J2195" s="2">
        <f>I2195 - INT(ROUND($B$4 * 30.4375, 0) * (42+0.5)/50)</f>
        <v>0</v>
      </c>
      <c r="K2195" s="4">
        <f>VLOOKUP(J2195, '1_Rate_Changes'!$A$2:$C$100, 3, TRUE)</f>
        <v>0</v>
      </c>
    </row>
    <row r="2196" spans="7:11">
      <c r="G2196">
        <v>43</v>
      </c>
      <c r="H2196">
        <v>43</v>
      </c>
      <c r="I2196" s="2">
        <f>INT(DATE($B$3,1,1) + (43+0.5)*365/50)</f>
        <v>0</v>
      </c>
      <c r="J2196" s="2">
        <f>I2196 - INT(ROUND($B$4 * 30.4375, 0) * (43+0.5)/50)</f>
        <v>0</v>
      </c>
      <c r="K2196" s="4">
        <f>VLOOKUP(J2196, '1_Rate_Changes'!$A$2:$C$100, 3, TRUE)</f>
        <v>0</v>
      </c>
    </row>
    <row r="2197" spans="7:11">
      <c r="G2197">
        <v>43</v>
      </c>
      <c r="H2197">
        <v>44</v>
      </c>
      <c r="I2197" s="2">
        <f>INT(DATE($B$3,1,1) + (43+0.5)*365/50)</f>
        <v>0</v>
      </c>
      <c r="J2197" s="2">
        <f>I2197 - INT(ROUND($B$4 * 30.4375, 0) * (44+0.5)/50)</f>
        <v>0</v>
      </c>
      <c r="K2197" s="4">
        <f>VLOOKUP(J2197, '1_Rate_Changes'!$A$2:$C$100, 3, TRUE)</f>
        <v>0</v>
      </c>
    </row>
    <row r="2198" spans="7:11">
      <c r="G2198">
        <v>43</v>
      </c>
      <c r="H2198">
        <v>45</v>
      </c>
      <c r="I2198" s="2">
        <f>INT(DATE($B$3,1,1) + (43+0.5)*365/50)</f>
        <v>0</v>
      </c>
      <c r="J2198" s="2">
        <f>I2198 - INT(ROUND($B$4 * 30.4375, 0) * (45+0.5)/50)</f>
        <v>0</v>
      </c>
      <c r="K2198" s="4">
        <f>VLOOKUP(J2198, '1_Rate_Changes'!$A$2:$C$100, 3, TRUE)</f>
        <v>0</v>
      </c>
    </row>
    <row r="2199" spans="7:11">
      <c r="G2199">
        <v>43</v>
      </c>
      <c r="H2199">
        <v>46</v>
      </c>
      <c r="I2199" s="2">
        <f>INT(DATE($B$3,1,1) + (43+0.5)*365/50)</f>
        <v>0</v>
      </c>
      <c r="J2199" s="2">
        <f>I2199 - INT(ROUND($B$4 * 30.4375, 0) * (46+0.5)/50)</f>
        <v>0</v>
      </c>
      <c r="K2199" s="4">
        <f>VLOOKUP(J2199, '1_Rate_Changes'!$A$2:$C$100, 3, TRUE)</f>
        <v>0</v>
      </c>
    </row>
    <row r="2200" spans="7:11">
      <c r="G2200">
        <v>43</v>
      </c>
      <c r="H2200">
        <v>47</v>
      </c>
      <c r="I2200" s="2">
        <f>INT(DATE($B$3,1,1) + (43+0.5)*365/50)</f>
        <v>0</v>
      </c>
      <c r="J2200" s="2">
        <f>I2200 - INT(ROUND($B$4 * 30.4375, 0) * (47+0.5)/50)</f>
        <v>0</v>
      </c>
      <c r="K2200" s="4">
        <f>VLOOKUP(J2200, '1_Rate_Changes'!$A$2:$C$100, 3, TRUE)</f>
        <v>0</v>
      </c>
    </row>
    <row r="2201" spans="7:11">
      <c r="G2201">
        <v>43</v>
      </c>
      <c r="H2201">
        <v>48</v>
      </c>
      <c r="I2201" s="2">
        <f>INT(DATE($B$3,1,1) + (43+0.5)*365/50)</f>
        <v>0</v>
      </c>
      <c r="J2201" s="2">
        <f>I2201 - INT(ROUND($B$4 * 30.4375, 0) * (48+0.5)/50)</f>
        <v>0</v>
      </c>
      <c r="K2201" s="4">
        <f>VLOOKUP(J2201, '1_Rate_Changes'!$A$2:$C$100, 3, TRUE)</f>
        <v>0</v>
      </c>
    </row>
    <row r="2202" spans="7:11">
      <c r="G2202">
        <v>43</v>
      </c>
      <c r="H2202">
        <v>49</v>
      </c>
      <c r="I2202" s="2">
        <f>INT(DATE($B$3,1,1) + (43+0.5)*365/50)</f>
        <v>0</v>
      </c>
      <c r="J2202" s="2">
        <f>I2202 - INT(ROUND($B$4 * 30.4375, 0) * (49+0.5)/50)</f>
        <v>0</v>
      </c>
      <c r="K2202" s="4">
        <f>VLOOKUP(J2202, '1_Rate_Changes'!$A$2:$C$100, 3, TRUE)</f>
        <v>0</v>
      </c>
    </row>
    <row r="2203" spans="7:11">
      <c r="G2203">
        <v>44</v>
      </c>
      <c r="H2203">
        <v>0</v>
      </c>
      <c r="I2203" s="2">
        <f>INT(DATE($B$3,1,1) + (44+0.5)*365/50)</f>
        <v>0</v>
      </c>
      <c r="J2203" s="2">
        <f>I2203 - INT(ROUND($B$4 * 30.4375, 0) * (0+0.5)/50)</f>
        <v>0</v>
      </c>
      <c r="K2203" s="4">
        <f>VLOOKUP(J2203, '1_Rate_Changes'!$A$2:$C$100, 3, TRUE)</f>
        <v>0</v>
      </c>
    </row>
    <row r="2204" spans="7:11">
      <c r="G2204">
        <v>44</v>
      </c>
      <c r="H2204">
        <v>1</v>
      </c>
      <c r="I2204" s="2">
        <f>INT(DATE($B$3,1,1) + (44+0.5)*365/50)</f>
        <v>0</v>
      </c>
      <c r="J2204" s="2">
        <f>I2204 - INT(ROUND($B$4 * 30.4375, 0) * (1+0.5)/50)</f>
        <v>0</v>
      </c>
      <c r="K2204" s="4">
        <f>VLOOKUP(J2204, '1_Rate_Changes'!$A$2:$C$100, 3, TRUE)</f>
        <v>0</v>
      </c>
    </row>
    <row r="2205" spans="7:11">
      <c r="G2205">
        <v>44</v>
      </c>
      <c r="H2205">
        <v>2</v>
      </c>
      <c r="I2205" s="2">
        <f>INT(DATE($B$3,1,1) + (44+0.5)*365/50)</f>
        <v>0</v>
      </c>
      <c r="J2205" s="2">
        <f>I2205 - INT(ROUND($B$4 * 30.4375, 0) * (2+0.5)/50)</f>
        <v>0</v>
      </c>
      <c r="K2205" s="4">
        <f>VLOOKUP(J2205, '1_Rate_Changes'!$A$2:$C$100, 3, TRUE)</f>
        <v>0</v>
      </c>
    </row>
    <row r="2206" spans="7:11">
      <c r="G2206">
        <v>44</v>
      </c>
      <c r="H2206">
        <v>3</v>
      </c>
      <c r="I2206" s="2">
        <f>INT(DATE($B$3,1,1) + (44+0.5)*365/50)</f>
        <v>0</v>
      </c>
      <c r="J2206" s="2">
        <f>I2206 - INT(ROUND($B$4 * 30.4375, 0) * (3+0.5)/50)</f>
        <v>0</v>
      </c>
      <c r="K2206" s="4">
        <f>VLOOKUP(J2206, '1_Rate_Changes'!$A$2:$C$100, 3, TRUE)</f>
        <v>0</v>
      </c>
    </row>
    <row r="2207" spans="7:11">
      <c r="G2207">
        <v>44</v>
      </c>
      <c r="H2207">
        <v>4</v>
      </c>
      <c r="I2207" s="2">
        <f>INT(DATE($B$3,1,1) + (44+0.5)*365/50)</f>
        <v>0</v>
      </c>
      <c r="J2207" s="2">
        <f>I2207 - INT(ROUND($B$4 * 30.4375, 0) * (4+0.5)/50)</f>
        <v>0</v>
      </c>
      <c r="K2207" s="4">
        <f>VLOOKUP(J2207, '1_Rate_Changes'!$A$2:$C$100, 3, TRUE)</f>
        <v>0</v>
      </c>
    </row>
    <row r="2208" spans="7:11">
      <c r="G2208">
        <v>44</v>
      </c>
      <c r="H2208">
        <v>5</v>
      </c>
      <c r="I2208" s="2">
        <f>INT(DATE($B$3,1,1) + (44+0.5)*365/50)</f>
        <v>0</v>
      </c>
      <c r="J2208" s="2">
        <f>I2208 - INT(ROUND($B$4 * 30.4375, 0) * (5+0.5)/50)</f>
        <v>0</v>
      </c>
      <c r="K2208" s="4">
        <f>VLOOKUP(J2208, '1_Rate_Changes'!$A$2:$C$100, 3, TRUE)</f>
        <v>0</v>
      </c>
    </row>
    <row r="2209" spans="7:11">
      <c r="G2209">
        <v>44</v>
      </c>
      <c r="H2209">
        <v>6</v>
      </c>
      <c r="I2209" s="2">
        <f>INT(DATE($B$3,1,1) + (44+0.5)*365/50)</f>
        <v>0</v>
      </c>
      <c r="J2209" s="2">
        <f>I2209 - INT(ROUND($B$4 * 30.4375, 0) * (6+0.5)/50)</f>
        <v>0</v>
      </c>
      <c r="K2209" s="4">
        <f>VLOOKUP(J2209, '1_Rate_Changes'!$A$2:$C$100, 3, TRUE)</f>
        <v>0</v>
      </c>
    </row>
    <row r="2210" spans="7:11">
      <c r="G2210">
        <v>44</v>
      </c>
      <c r="H2210">
        <v>7</v>
      </c>
      <c r="I2210" s="2">
        <f>INT(DATE($B$3,1,1) + (44+0.5)*365/50)</f>
        <v>0</v>
      </c>
      <c r="J2210" s="2">
        <f>I2210 - INT(ROUND($B$4 * 30.4375, 0) * (7+0.5)/50)</f>
        <v>0</v>
      </c>
      <c r="K2210" s="4">
        <f>VLOOKUP(J2210, '1_Rate_Changes'!$A$2:$C$100, 3, TRUE)</f>
        <v>0</v>
      </c>
    </row>
    <row r="2211" spans="7:11">
      <c r="G2211">
        <v>44</v>
      </c>
      <c r="H2211">
        <v>8</v>
      </c>
      <c r="I2211" s="2">
        <f>INT(DATE($B$3,1,1) + (44+0.5)*365/50)</f>
        <v>0</v>
      </c>
      <c r="J2211" s="2">
        <f>I2211 - INT(ROUND($B$4 * 30.4375, 0) * (8+0.5)/50)</f>
        <v>0</v>
      </c>
      <c r="K2211" s="4">
        <f>VLOOKUP(J2211, '1_Rate_Changes'!$A$2:$C$100, 3, TRUE)</f>
        <v>0</v>
      </c>
    </row>
    <row r="2212" spans="7:11">
      <c r="G2212">
        <v>44</v>
      </c>
      <c r="H2212">
        <v>9</v>
      </c>
      <c r="I2212" s="2">
        <f>INT(DATE($B$3,1,1) + (44+0.5)*365/50)</f>
        <v>0</v>
      </c>
      <c r="J2212" s="2">
        <f>I2212 - INT(ROUND($B$4 * 30.4375, 0) * (9+0.5)/50)</f>
        <v>0</v>
      </c>
      <c r="K2212" s="4">
        <f>VLOOKUP(J2212, '1_Rate_Changes'!$A$2:$C$100, 3, TRUE)</f>
        <v>0</v>
      </c>
    </row>
    <row r="2213" spans="7:11">
      <c r="G2213">
        <v>44</v>
      </c>
      <c r="H2213">
        <v>10</v>
      </c>
      <c r="I2213" s="2">
        <f>INT(DATE($B$3,1,1) + (44+0.5)*365/50)</f>
        <v>0</v>
      </c>
      <c r="J2213" s="2">
        <f>I2213 - INT(ROUND($B$4 * 30.4375, 0) * (10+0.5)/50)</f>
        <v>0</v>
      </c>
      <c r="K2213" s="4">
        <f>VLOOKUP(J2213, '1_Rate_Changes'!$A$2:$C$100, 3, TRUE)</f>
        <v>0</v>
      </c>
    </row>
    <row r="2214" spans="7:11">
      <c r="G2214">
        <v>44</v>
      </c>
      <c r="H2214">
        <v>11</v>
      </c>
      <c r="I2214" s="2">
        <f>INT(DATE($B$3,1,1) + (44+0.5)*365/50)</f>
        <v>0</v>
      </c>
      <c r="J2214" s="2">
        <f>I2214 - INT(ROUND($B$4 * 30.4375, 0) * (11+0.5)/50)</f>
        <v>0</v>
      </c>
      <c r="K2214" s="4">
        <f>VLOOKUP(J2214, '1_Rate_Changes'!$A$2:$C$100, 3, TRUE)</f>
        <v>0</v>
      </c>
    </row>
    <row r="2215" spans="7:11">
      <c r="G2215">
        <v>44</v>
      </c>
      <c r="H2215">
        <v>12</v>
      </c>
      <c r="I2215" s="2">
        <f>INT(DATE($B$3,1,1) + (44+0.5)*365/50)</f>
        <v>0</v>
      </c>
      <c r="J2215" s="2">
        <f>I2215 - INT(ROUND($B$4 * 30.4375, 0) * (12+0.5)/50)</f>
        <v>0</v>
      </c>
      <c r="K2215" s="4">
        <f>VLOOKUP(J2215, '1_Rate_Changes'!$A$2:$C$100, 3, TRUE)</f>
        <v>0</v>
      </c>
    </row>
    <row r="2216" spans="7:11">
      <c r="G2216">
        <v>44</v>
      </c>
      <c r="H2216">
        <v>13</v>
      </c>
      <c r="I2216" s="2">
        <f>INT(DATE($B$3,1,1) + (44+0.5)*365/50)</f>
        <v>0</v>
      </c>
      <c r="J2216" s="2">
        <f>I2216 - INT(ROUND($B$4 * 30.4375, 0) * (13+0.5)/50)</f>
        <v>0</v>
      </c>
      <c r="K2216" s="4">
        <f>VLOOKUP(J2216, '1_Rate_Changes'!$A$2:$C$100, 3, TRUE)</f>
        <v>0</v>
      </c>
    </row>
    <row r="2217" spans="7:11">
      <c r="G2217">
        <v>44</v>
      </c>
      <c r="H2217">
        <v>14</v>
      </c>
      <c r="I2217" s="2">
        <f>INT(DATE($B$3,1,1) + (44+0.5)*365/50)</f>
        <v>0</v>
      </c>
      <c r="J2217" s="2">
        <f>I2217 - INT(ROUND($B$4 * 30.4375, 0) * (14+0.5)/50)</f>
        <v>0</v>
      </c>
      <c r="K2217" s="4">
        <f>VLOOKUP(J2217, '1_Rate_Changes'!$A$2:$C$100, 3, TRUE)</f>
        <v>0</v>
      </c>
    </row>
    <row r="2218" spans="7:11">
      <c r="G2218">
        <v>44</v>
      </c>
      <c r="H2218">
        <v>15</v>
      </c>
      <c r="I2218" s="2">
        <f>INT(DATE($B$3,1,1) + (44+0.5)*365/50)</f>
        <v>0</v>
      </c>
      <c r="J2218" s="2">
        <f>I2218 - INT(ROUND($B$4 * 30.4375, 0) * (15+0.5)/50)</f>
        <v>0</v>
      </c>
      <c r="K2218" s="4">
        <f>VLOOKUP(J2218, '1_Rate_Changes'!$A$2:$C$100, 3, TRUE)</f>
        <v>0</v>
      </c>
    </row>
    <row r="2219" spans="7:11">
      <c r="G2219">
        <v>44</v>
      </c>
      <c r="H2219">
        <v>16</v>
      </c>
      <c r="I2219" s="2">
        <f>INT(DATE($B$3,1,1) + (44+0.5)*365/50)</f>
        <v>0</v>
      </c>
      <c r="J2219" s="2">
        <f>I2219 - INT(ROUND($B$4 * 30.4375, 0) * (16+0.5)/50)</f>
        <v>0</v>
      </c>
      <c r="K2219" s="4">
        <f>VLOOKUP(J2219, '1_Rate_Changes'!$A$2:$C$100, 3, TRUE)</f>
        <v>0</v>
      </c>
    </row>
    <row r="2220" spans="7:11">
      <c r="G2220">
        <v>44</v>
      </c>
      <c r="H2220">
        <v>17</v>
      </c>
      <c r="I2220" s="2">
        <f>INT(DATE($B$3,1,1) + (44+0.5)*365/50)</f>
        <v>0</v>
      </c>
      <c r="J2220" s="2">
        <f>I2220 - INT(ROUND($B$4 * 30.4375, 0) * (17+0.5)/50)</f>
        <v>0</v>
      </c>
      <c r="K2220" s="4">
        <f>VLOOKUP(J2220, '1_Rate_Changes'!$A$2:$C$100, 3, TRUE)</f>
        <v>0</v>
      </c>
    </row>
    <row r="2221" spans="7:11">
      <c r="G2221">
        <v>44</v>
      </c>
      <c r="H2221">
        <v>18</v>
      </c>
      <c r="I2221" s="2">
        <f>INT(DATE($B$3,1,1) + (44+0.5)*365/50)</f>
        <v>0</v>
      </c>
      <c r="J2221" s="2">
        <f>I2221 - INT(ROUND($B$4 * 30.4375, 0) * (18+0.5)/50)</f>
        <v>0</v>
      </c>
      <c r="K2221" s="4">
        <f>VLOOKUP(J2221, '1_Rate_Changes'!$A$2:$C$100, 3, TRUE)</f>
        <v>0</v>
      </c>
    </row>
    <row r="2222" spans="7:11">
      <c r="G2222">
        <v>44</v>
      </c>
      <c r="H2222">
        <v>19</v>
      </c>
      <c r="I2222" s="2">
        <f>INT(DATE($B$3,1,1) + (44+0.5)*365/50)</f>
        <v>0</v>
      </c>
      <c r="J2222" s="2">
        <f>I2222 - INT(ROUND($B$4 * 30.4375, 0) * (19+0.5)/50)</f>
        <v>0</v>
      </c>
      <c r="K2222" s="4">
        <f>VLOOKUP(J2222, '1_Rate_Changes'!$A$2:$C$100, 3, TRUE)</f>
        <v>0</v>
      </c>
    </row>
    <row r="2223" spans="7:11">
      <c r="G2223">
        <v>44</v>
      </c>
      <c r="H2223">
        <v>20</v>
      </c>
      <c r="I2223" s="2">
        <f>INT(DATE($B$3,1,1) + (44+0.5)*365/50)</f>
        <v>0</v>
      </c>
      <c r="J2223" s="2">
        <f>I2223 - INT(ROUND($B$4 * 30.4375, 0) * (20+0.5)/50)</f>
        <v>0</v>
      </c>
      <c r="K2223" s="4">
        <f>VLOOKUP(J2223, '1_Rate_Changes'!$A$2:$C$100, 3, TRUE)</f>
        <v>0</v>
      </c>
    </row>
    <row r="2224" spans="7:11">
      <c r="G2224">
        <v>44</v>
      </c>
      <c r="H2224">
        <v>21</v>
      </c>
      <c r="I2224" s="2">
        <f>INT(DATE($B$3,1,1) + (44+0.5)*365/50)</f>
        <v>0</v>
      </c>
      <c r="J2224" s="2">
        <f>I2224 - INT(ROUND($B$4 * 30.4375, 0) * (21+0.5)/50)</f>
        <v>0</v>
      </c>
      <c r="K2224" s="4">
        <f>VLOOKUP(J2224, '1_Rate_Changes'!$A$2:$C$100, 3, TRUE)</f>
        <v>0</v>
      </c>
    </row>
    <row r="2225" spans="7:11">
      <c r="G2225">
        <v>44</v>
      </c>
      <c r="H2225">
        <v>22</v>
      </c>
      <c r="I2225" s="2">
        <f>INT(DATE($B$3,1,1) + (44+0.5)*365/50)</f>
        <v>0</v>
      </c>
      <c r="J2225" s="2">
        <f>I2225 - INT(ROUND($B$4 * 30.4375, 0) * (22+0.5)/50)</f>
        <v>0</v>
      </c>
      <c r="K2225" s="4">
        <f>VLOOKUP(J2225, '1_Rate_Changes'!$A$2:$C$100, 3, TRUE)</f>
        <v>0</v>
      </c>
    </row>
    <row r="2226" spans="7:11">
      <c r="G2226">
        <v>44</v>
      </c>
      <c r="H2226">
        <v>23</v>
      </c>
      <c r="I2226" s="2">
        <f>INT(DATE($B$3,1,1) + (44+0.5)*365/50)</f>
        <v>0</v>
      </c>
      <c r="J2226" s="2">
        <f>I2226 - INT(ROUND($B$4 * 30.4375, 0) * (23+0.5)/50)</f>
        <v>0</v>
      </c>
      <c r="K2226" s="4">
        <f>VLOOKUP(J2226, '1_Rate_Changes'!$A$2:$C$100, 3, TRUE)</f>
        <v>0</v>
      </c>
    </row>
    <row r="2227" spans="7:11">
      <c r="G2227">
        <v>44</v>
      </c>
      <c r="H2227">
        <v>24</v>
      </c>
      <c r="I2227" s="2">
        <f>INT(DATE($B$3,1,1) + (44+0.5)*365/50)</f>
        <v>0</v>
      </c>
      <c r="J2227" s="2">
        <f>I2227 - INT(ROUND($B$4 * 30.4375, 0) * (24+0.5)/50)</f>
        <v>0</v>
      </c>
      <c r="K2227" s="4">
        <f>VLOOKUP(J2227, '1_Rate_Changes'!$A$2:$C$100, 3, TRUE)</f>
        <v>0</v>
      </c>
    </row>
    <row r="2228" spans="7:11">
      <c r="G2228">
        <v>44</v>
      </c>
      <c r="H2228">
        <v>25</v>
      </c>
      <c r="I2228" s="2">
        <f>INT(DATE($B$3,1,1) + (44+0.5)*365/50)</f>
        <v>0</v>
      </c>
      <c r="J2228" s="2">
        <f>I2228 - INT(ROUND($B$4 * 30.4375, 0) * (25+0.5)/50)</f>
        <v>0</v>
      </c>
      <c r="K2228" s="4">
        <f>VLOOKUP(J2228, '1_Rate_Changes'!$A$2:$C$100, 3, TRUE)</f>
        <v>0</v>
      </c>
    </row>
    <row r="2229" spans="7:11">
      <c r="G2229">
        <v>44</v>
      </c>
      <c r="H2229">
        <v>26</v>
      </c>
      <c r="I2229" s="2">
        <f>INT(DATE($B$3,1,1) + (44+0.5)*365/50)</f>
        <v>0</v>
      </c>
      <c r="J2229" s="2">
        <f>I2229 - INT(ROUND($B$4 * 30.4375, 0) * (26+0.5)/50)</f>
        <v>0</v>
      </c>
      <c r="K2229" s="4">
        <f>VLOOKUP(J2229, '1_Rate_Changes'!$A$2:$C$100, 3, TRUE)</f>
        <v>0</v>
      </c>
    </row>
    <row r="2230" spans="7:11">
      <c r="G2230">
        <v>44</v>
      </c>
      <c r="H2230">
        <v>27</v>
      </c>
      <c r="I2230" s="2">
        <f>INT(DATE($B$3,1,1) + (44+0.5)*365/50)</f>
        <v>0</v>
      </c>
      <c r="J2230" s="2">
        <f>I2230 - INT(ROUND($B$4 * 30.4375, 0) * (27+0.5)/50)</f>
        <v>0</v>
      </c>
      <c r="K2230" s="4">
        <f>VLOOKUP(J2230, '1_Rate_Changes'!$A$2:$C$100, 3, TRUE)</f>
        <v>0</v>
      </c>
    </row>
    <row r="2231" spans="7:11">
      <c r="G2231">
        <v>44</v>
      </c>
      <c r="H2231">
        <v>28</v>
      </c>
      <c r="I2231" s="2">
        <f>INT(DATE($B$3,1,1) + (44+0.5)*365/50)</f>
        <v>0</v>
      </c>
      <c r="J2231" s="2">
        <f>I2231 - INT(ROUND($B$4 * 30.4375, 0) * (28+0.5)/50)</f>
        <v>0</v>
      </c>
      <c r="K2231" s="4">
        <f>VLOOKUP(J2231, '1_Rate_Changes'!$A$2:$C$100, 3, TRUE)</f>
        <v>0</v>
      </c>
    </row>
    <row r="2232" spans="7:11">
      <c r="G2232">
        <v>44</v>
      </c>
      <c r="H2232">
        <v>29</v>
      </c>
      <c r="I2232" s="2">
        <f>INT(DATE($B$3,1,1) + (44+0.5)*365/50)</f>
        <v>0</v>
      </c>
      <c r="J2232" s="2">
        <f>I2232 - INT(ROUND($B$4 * 30.4375, 0) * (29+0.5)/50)</f>
        <v>0</v>
      </c>
      <c r="K2232" s="4">
        <f>VLOOKUP(J2232, '1_Rate_Changes'!$A$2:$C$100, 3, TRUE)</f>
        <v>0</v>
      </c>
    </row>
    <row r="2233" spans="7:11">
      <c r="G2233">
        <v>44</v>
      </c>
      <c r="H2233">
        <v>30</v>
      </c>
      <c r="I2233" s="2">
        <f>INT(DATE($B$3,1,1) + (44+0.5)*365/50)</f>
        <v>0</v>
      </c>
      <c r="J2233" s="2">
        <f>I2233 - INT(ROUND($B$4 * 30.4375, 0) * (30+0.5)/50)</f>
        <v>0</v>
      </c>
      <c r="K2233" s="4">
        <f>VLOOKUP(J2233, '1_Rate_Changes'!$A$2:$C$100, 3, TRUE)</f>
        <v>0</v>
      </c>
    </row>
    <row r="2234" spans="7:11">
      <c r="G2234">
        <v>44</v>
      </c>
      <c r="H2234">
        <v>31</v>
      </c>
      <c r="I2234" s="2">
        <f>INT(DATE($B$3,1,1) + (44+0.5)*365/50)</f>
        <v>0</v>
      </c>
      <c r="J2234" s="2">
        <f>I2234 - INT(ROUND($B$4 * 30.4375, 0) * (31+0.5)/50)</f>
        <v>0</v>
      </c>
      <c r="K2234" s="4">
        <f>VLOOKUP(J2234, '1_Rate_Changes'!$A$2:$C$100, 3, TRUE)</f>
        <v>0</v>
      </c>
    </row>
    <row r="2235" spans="7:11">
      <c r="G2235">
        <v>44</v>
      </c>
      <c r="H2235">
        <v>32</v>
      </c>
      <c r="I2235" s="2">
        <f>INT(DATE($B$3,1,1) + (44+0.5)*365/50)</f>
        <v>0</v>
      </c>
      <c r="J2235" s="2">
        <f>I2235 - INT(ROUND($B$4 * 30.4375, 0) * (32+0.5)/50)</f>
        <v>0</v>
      </c>
      <c r="K2235" s="4">
        <f>VLOOKUP(J2235, '1_Rate_Changes'!$A$2:$C$100, 3, TRUE)</f>
        <v>0</v>
      </c>
    </row>
    <row r="2236" spans="7:11">
      <c r="G2236">
        <v>44</v>
      </c>
      <c r="H2236">
        <v>33</v>
      </c>
      <c r="I2236" s="2">
        <f>INT(DATE($B$3,1,1) + (44+0.5)*365/50)</f>
        <v>0</v>
      </c>
      <c r="J2236" s="2">
        <f>I2236 - INT(ROUND($B$4 * 30.4375, 0) * (33+0.5)/50)</f>
        <v>0</v>
      </c>
      <c r="K2236" s="4">
        <f>VLOOKUP(J2236, '1_Rate_Changes'!$A$2:$C$100, 3, TRUE)</f>
        <v>0</v>
      </c>
    </row>
    <row r="2237" spans="7:11">
      <c r="G2237">
        <v>44</v>
      </c>
      <c r="H2237">
        <v>34</v>
      </c>
      <c r="I2237" s="2">
        <f>INT(DATE($B$3,1,1) + (44+0.5)*365/50)</f>
        <v>0</v>
      </c>
      <c r="J2237" s="2">
        <f>I2237 - INT(ROUND($B$4 * 30.4375, 0) * (34+0.5)/50)</f>
        <v>0</v>
      </c>
      <c r="K2237" s="4">
        <f>VLOOKUP(J2237, '1_Rate_Changes'!$A$2:$C$100, 3, TRUE)</f>
        <v>0</v>
      </c>
    </row>
    <row r="2238" spans="7:11">
      <c r="G2238">
        <v>44</v>
      </c>
      <c r="H2238">
        <v>35</v>
      </c>
      <c r="I2238" s="2">
        <f>INT(DATE($B$3,1,1) + (44+0.5)*365/50)</f>
        <v>0</v>
      </c>
      <c r="J2238" s="2">
        <f>I2238 - INT(ROUND($B$4 * 30.4375, 0) * (35+0.5)/50)</f>
        <v>0</v>
      </c>
      <c r="K2238" s="4">
        <f>VLOOKUP(J2238, '1_Rate_Changes'!$A$2:$C$100, 3, TRUE)</f>
        <v>0</v>
      </c>
    </row>
    <row r="2239" spans="7:11">
      <c r="G2239">
        <v>44</v>
      </c>
      <c r="H2239">
        <v>36</v>
      </c>
      <c r="I2239" s="2">
        <f>INT(DATE($B$3,1,1) + (44+0.5)*365/50)</f>
        <v>0</v>
      </c>
      <c r="J2239" s="2">
        <f>I2239 - INT(ROUND($B$4 * 30.4375, 0) * (36+0.5)/50)</f>
        <v>0</v>
      </c>
      <c r="K2239" s="4">
        <f>VLOOKUP(J2239, '1_Rate_Changes'!$A$2:$C$100, 3, TRUE)</f>
        <v>0</v>
      </c>
    </row>
    <row r="2240" spans="7:11">
      <c r="G2240">
        <v>44</v>
      </c>
      <c r="H2240">
        <v>37</v>
      </c>
      <c r="I2240" s="2">
        <f>INT(DATE($B$3,1,1) + (44+0.5)*365/50)</f>
        <v>0</v>
      </c>
      <c r="J2240" s="2">
        <f>I2240 - INT(ROUND($B$4 * 30.4375, 0) * (37+0.5)/50)</f>
        <v>0</v>
      </c>
      <c r="K2240" s="4">
        <f>VLOOKUP(J2240, '1_Rate_Changes'!$A$2:$C$100, 3, TRUE)</f>
        <v>0</v>
      </c>
    </row>
    <row r="2241" spans="7:11">
      <c r="G2241">
        <v>44</v>
      </c>
      <c r="H2241">
        <v>38</v>
      </c>
      <c r="I2241" s="2">
        <f>INT(DATE($B$3,1,1) + (44+0.5)*365/50)</f>
        <v>0</v>
      </c>
      <c r="J2241" s="2">
        <f>I2241 - INT(ROUND($B$4 * 30.4375, 0) * (38+0.5)/50)</f>
        <v>0</v>
      </c>
      <c r="K2241" s="4">
        <f>VLOOKUP(J2241, '1_Rate_Changes'!$A$2:$C$100, 3, TRUE)</f>
        <v>0</v>
      </c>
    </row>
    <row r="2242" spans="7:11">
      <c r="G2242">
        <v>44</v>
      </c>
      <c r="H2242">
        <v>39</v>
      </c>
      <c r="I2242" s="2">
        <f>INT(DATE($B$3,1,1) + (44+0.5)*365/50)</f>
        <v>0</v>
      </c>
      <c r="J2242" s="2">
        <f>I2242 - INT(ROUND($B$4 * 30.4375, 0) * (39+0.5)/50)</f>
        <v>0</v>
      </c>
      <c r="K2242" s="4">
        <f>VLOOKUP(J2242, '1_Rate_Changes'!$A$2:$C$100, 3, TRUE)</f>
        <v>0</v>
      </c>
    </row>
    <row r="2243" spans="7:11">
      <c r="G2243">
        <v>44</v>
      </c>
      <c r="H2243">
        <v>40</v>
      </c>
      <c r="I2243" s="2">
        <f>INT(DATE($B$3,1,1) + (44+0.5)*365/50)</f>
        <v>0</v>
      </c>
      <c r="J2243" s="2">
        <f>I2243 - INT(ROUND($B$4 * 30.4375, 0) * (40+0.5)/50)</f>
        <v>0</v>
      </c>
      <c r="K2243" s="4">
        <f>VLOOKUP(J2243, '1_Rate_Changes'!$A$2:$C$100, 3, TRUE)</f>
        <v>0</v>
      </c>
    </row>
    <row r="2244" spans="7:11">
      <c r="G2244">
        <v>44</v>
      </c>
      <c r="H2244">
        <v>41</v>
      </c>
      <c r="I2244" s="2">
        <f>INT(DATE($B$3,1,1) + (44+0.5)*365/50)</f>
        <v>0</v>
      </c>
      <c r="J2244" s="2">
        <f>I2244 - INT(ROUND($B$4 * 30.4375, 0) * (41+0.5)/50)</f>
        <v>0</v>
      </c>
      <c r="K2244" s="4">
        <f>VLOOKUP(J2244, '1_Rate_Changes'!$A$2:$C$100, 3, TRUE)</f>
        <v>0</v>
      </c>
    </row>
    <row r="2245" spans="7:11">
      <c r="G2245">
        <v>44</v>
      </c>
      <c r="H2245">
        <v>42</v>
      </c>
      <c r="I2245" s="2">
        <f>INT(DATE($B$3,1,1) + (44+0.5)*365/50)</f>
        <v>0</v>
      </c>
      <c r="J2245" s="2">
        <f>I2245 - INT(ROUND($B$4 * 30.4375, 0) * (42+0.5)/50)</f>
        <v>0</v>
      </c>
      <c r="K2245" s="4">
        <f>VLOOKUP(J2245, '1_Rate_Changes'!$A$2:$C$100, 3, TRUE)</f>
        <v>0</v>
      </c>
    </row>
    <row r="2246" spans="7:11">
      <c r="G2246">
        <v>44</v>
      </c>
      <c r="H2246">
        <v>43</v>
      </c>
      <c r="I2246" s="2">
        <f>INT(DATE($B$3,1,1) + (44+0.5)*365/50)</f>
        <v>0</v>
      </c>
      <c r="J2246" s="2">
        <f>I2246 - INT(ROUND($B$4 * 30.4375, 0) * (43+0.5)/50)</f>
        <v>0</v>
      </c>
      <c r="K2246" s="4">
        <f>VLOOKUP(J2246, '1_Rate_Changes'!$A$2:$C$100, 3, TRUE)</f>
        <v>0</v>
      </c>
    </row>
    <row r="2247" spans="7:11">
      <c r="G2247">
        <v>44</v>
      </c>
      <c r="H2247">
        <v>44</v>
      </c>
      <c r="I2247" s="2">
        <f>INT(DATE($B$3,1,1) + (44+0.5)*365/50)</f>
        <v>0</v>
      </c>
      <c r="J2247" s="2">
        <f>I2247 - INT(ROUND($B$4 * 30.4375, 0) * (44+0.5)/50)</f>
        <v>0</v>
      </c>
      <c r="K2247" s="4">
        <f>VLOOKUP(J2247, '1_Rate_Changes'!$A$2:$C$100, 3, TRUE)</f>
        <v>0</v>
      </c>
    </row>
    <row r="2248" spans="7:11">
      <c r="G2248">
        <v>44</v>
      </c>
      <c r="H2248">
        <v>45</v>
      </c>
      <c r="I2248" s="2">
        <f>INT(DATE($B$3,1,1) + (44+0.5)*365/50)</f>
        <v>0</v>
      </c>
      <c r="J2248" s="2">
        <f>I2248 - INT(ROUND($B$4 * 30.4375, 0) * (45+0.5)/50)</f>
        <v>0</v>
      </c>
      <c r="K2248" s="4">
        <f>VLOOKUP(J2248, '1_Rate_Changes'!$A$2:$C$100, 3, TRUE)</f>
        <v>0</v>
      </c>
    </row>
    <row r="2249" spans="7:11">
      <c r="G2249">
        <v>44</v>
      </c>
      <c r="H2249">
        <v>46</v>
      </c>
      <c r="I2249" s="2">
        <f>INT(DATE($B$3,1,1) + (44+0.5)*365/50)</f>
        <v>0</v>
      </c>
      <c r="J2249" s="2">
        <f>I2249 - INT(ROUND($B$4 * 30.4375, 0) * (46+0.5)/50)</f>
        <v>0</v>
      </c>
      <c r="K2249" s="4">
        <f>VLOOKUP(J2249, '1_Rate_Changes'!$A$2:$C$100, 3, TRUE)</f>
        <v>0</v>
      </c>
    </row>
    <row r="2250" spans="7:11">
      <c r="G2250">
        <v>44</v>
      </c>
      <c r="H2250">
        <v>47</v>
      </c>
      <c r="I2250" s="2">
        <f>INT(DATE($B$3,1,1) + (44+0.5)*365/50)</f>
        <v>0</v>
      </c>
      <c r="J2250" s="2">
        <f>I2250 - INT(ROUND($B$4 * 30.4375, 0) * (47+0.5)/50)</f>
        <v>0</v>
      </c>
      <c r="K2250" s="4">
        <f>VLOOKUP(J2250, '1_Rate_Changes'!$A$2:$C$100, 3, TRUE)</f>
        <v>0</v>
      </c>
    </row>
    <row r="2251" spans="7:11">
      <c r="G2251">
        <v>44</v>
      </c>
      <c r="H2251">
        <v>48</v>
      </c>
      <c r="I2251" s="2">
        <f>INT(DATE($B$3,1,1) + (44+0.5)*365/50)</f>
        <v>0</v>
      </c>
      <c r="J2251" s="2">
        <f>I2251 - INT(ROUND($B$4 * 30.4375, 0) * (48+0.5)/50)</f>
        <v>0</v>
      </c>
      <c r="K2251" s="4">
        <f>VLOOKUP(J2251, '1_Rate_Changes'!$A$2:$C$100, 3, TRUE)</f>
        <v>0</v>
      </c>
    </row>
    <row r="2252" spans="7:11">
      <c r="G2252">
        <v>44</v>
      </c>
      <c r="H2252">
        <v>49</v>
      </c>
      <c r="I2252" s="2">
        <f>INT(DATE($B$3,1,1) + (44+0.5)*365/50)</f>
        <v>0</v>
      </c>
      <c r="J2252" s="2">
        <f>I2252 - INT(ROUND($B$4 * 30.4375, 0) * (49+0.5)/50)</f>
        <v>0</v>
      </c>
      <c r="K2252" s="4">
        <f>VLOOKUP(J2252, '1_Rate_Changes'!$A$2:$C$100, 3, TRUE)</f>
        <v>0</v>
      </c>
    </row>
    <row r="2253" spans="7:11">
      <c r="G2253">
        <v>45</v>
      </c>
      <c r="H2253">
        <v>0</v>
      </c>
      <c r="I2253" s="2">
        <f>INT(DATE($B$3,1,1) + (45+0.5)*365/50)</f>
        <v>0</v>
      </c>
      <c r="J2253" s="2">
        <f>I2253 - INT(ROUND($B$4 * 30.4375, 0) * (0+0.5)/50)</f>
        <v>0</v>
      </c>
      <c r="K2253" s="4">
        <f>VLOOKUP(J2253, '1_Rate_Changes'!$A$2:$C$100, 3, TRUE)</f>
        <v>0</v>
      </c>
    </row>
    <row r="2254" spans="7:11">
      <c r="G2254">
        <v>45</v>
      </c>
      <c r="H2254">
        <v>1</v>
      </c>
      <c r="I2254" s="2">
        <f>INT(DATE($B$3,1,1) + (45+0.5)*365/50)</f>
        <v>0</v>
      </c>
      <c r="J2254" s="2">
        <f>I2254 - INT(ROUND($B$4 * 30.4375, 0) * (1+0.5)/50)</f>
        <v>0</v>
      </c>
      <c r="K2254" s="4">
        <f>VLOOKUP(J2254, '1_Rate_Changes'!$A$2:$C$100, 3, TRUE)</f>
        <v>0</v>
      </c>
    </row>
    <row r="2255" spans="7:11">
      <c r="G2255">
        <v>45</v>
      </c>
      <c r="H2255">
        <v>2</v>
      </c>
      <c r="I2255" s="2">
        <f>INT(DATE($B$3,1,1) + (45+0.5)*365/50)</f>
        <v>0</v>
      </c>
      <c r="J2255" s="2">
        <f>I2255 - INT(ROUND($B$4 * 30.4375, 0) * (2+0.5)/50)</f>
        <v>0</v>
      </c>
      <c r="K2255" s="4">
        <f>VLOOKUP(J2255, '1_Rate_Changes'!$A$2:$C$100, 3, TRUE)</f>
        <v>0</v>
      </c>
    </row>
    <row r="2256" spans="7:11">
      <c r="G2256">
        <v>45</v>
      </c>
      <c r="H2256">
        <v>3</v>
      </c>
      <c r="I2256" s="2">
        <f>INT(DATE($B$3,1,1) + (45+0.5)*365/50)</f>
        <v>0</v>
      </c>
      <c r="J2256" s="2">
        <f>I2256 - INT(ROUND($B$4 * 30.4375, 0) * (3+0.5)/50)</f>
        <v>0</v>
      </c>
      <c r="K2256" s="4">
        <f>VLOOKUP(J2256, '1_Rate_Changes'!$A$2:$C$100, 3, TRUE)</f>
        <v>0</v>
      </c>
    </row>
    <row r="2257" spans="7:11">
      <c r="G2257">
        <v>45</v>
      </c>
      <c r="H2257">
        <v>4</v>
      </c>
      <c r="I2257" s="2">
        <f>INT(DATE($B$3,1,1) + (45+0.5)*365/50)</f>
        <v>0</v>
      </c>
      <c r="J2257" s="2">
        <f>I2257 - INT(ROUND($B$4 * 30.4375, 0) * (4+0.5)/50)</f>
        <v>0</v>
      </c>
      <c r="K2257" s="4">
        <f>VLOOKUP(J2257, '1_Rate_Changes'!$A$2:$C$100, 3, TRUE)</f>
        <v>0</v>
      </c>
    </row>
    <row r="2258" spans="7:11">
      <c r="G2258">
        <v>45</v>
      </c>
      <c r="H2258">
        <v>5</v>
      </c>
      <c r="I2258" s="2">
        <f>INT(DATE($B$3,1,1) + (45+0.5)*365/50)</f>
        <v>0</v>
      </c>
      <c r="J2258" s="2">
        <f>I2258 - INT(ROUND($B$4 * 30.4375, 0) * (5+0.5)/50)</f>
        <v>0</v>
      </c>
      <c r="K2258" s="4">
        <f>VLOOKUP(J2258, '1_Rate_Changes'!$A$2:$C$100, 3, TRUE)</f>
        <v>0</v>
      </c>
    </row>
    <row r="2259" spans="7:11">
      <c r="G2259">
        <v>45</v>
      </c>
      <c r="H2259">
        <v>6</v>
      </c>
      <c r="I2259" s="2">
        <f>INT(DATE($B$3,1,1) + (45+0.5)*365/50)</f>
        <v>0</v>
      </c>
      <c r="J2259" s="2">
        <f>I2259 - INT(ROUND($B$4 * 30.4375, 0) * (6+0.5)/50)</f>
        <v>0</v>
      </c>
      <c r="K2259" s="4">
        <f>VLOOKUP(J2259, '1_Rate_Changes'!$A$2:$C$100, 3, TRUE)</f>
        <v>0</v>
      </c>
    </row>
    <row r="2260" spans="7:11">
      <c r="G2260">
        <v>45</v>
      </c>
      <c r="H2260">
        <v>7</v>
      </c>
      <c r="I2260" s="2">
        <f>INT(DATE($B$3,1,1) + (45+0.5)*365/50)</f>
        <v>0</v>
      </c>
      <c r="J2260" s="2">
        <f>I2260 - INT(ROUND($B$4 * 30.4375, 0) * (7+0.5)/50)</f>
        <v>0</v>
      </c>
      <c r="K2260" s="4">
        <f>VLOOKUP(J2260, '1_Rate_Changes'!$A$2:$C$100, 3, TRUE)</f>
        <v>0</v>
      </c>
    </row>
    <row r="2261" spans="7:11">
      <c r="G2261">
        <v>45</v>
      </c>
      <c r="H2261">
        <v>8</v>
      </c>
      <c r="I2261" s="2">
        <f>INT(DATE($B$3,1,1) + (45+0.5)*365/50)</f>
        <v>0</v>
      </c>
      <c r="J2261" s="2">
        <f>I2261 - INT(ROUND($B$4 * 30.4375, 0) * (8+0.5)/50)</f>
        <v>0</v>
      </c>
      <c r="K2261" s="4">
        <f>VLOOKUP(J2261, '1_Rate_Changes'!$A$2:$C$100, 3, TRUE)</f>
        <v>0</v>
      </c>
    </row>
    <row r="2262" spans="7:11">
      <c r="G2262">
        <v>45</v>
      </c>
      <c r="H2262">
        <v>9</v>
      </c>
      <c r="I2262" s="2">
        <f>INT(DATE($B$3,1,1) + (45+0.5)*365/50)</f>
        <v>0</v>
      </c>
      <c r="J2262" s="2">
        <f>I2262 - INT(ROUND($B$4 * 30.4375, 0) * (9+0.5)/50)</f>
        <v>0</v>
      </c>
      <c r="K2262" s="4">
        <f>VLOOKUP(J2262, '1_Rate_Changes'!$A$2:$C$100, 3, TRUE)</f>
        <v>0</v>
      </c>
    </row>
    <row r="2263" spans="7:11">
      <c r="G2263">
        <v>45</v>
      </c>
      <c r="H2263">
        <v>10</v>
      </c>
      <c r="I2263" s="2">
        <f>INT(DATE($B$3,1,1) + (45+0.5)*365/50)</f>
        <v>0</v>
      </c>
      <c r="J2263" s="2">
        <f>I2263 - INT(ROUND($B$4 * 30.4375, 0) * (10+0.5)/50)</f>
        <v>0</v>
      </c>
      <c r="K2263" s="4">
        <f>VLOOKUP(J2263, '1_Rate_Changes'!$A$2:$C$100, 3, TRUE)</f>
        <v>0</v>
      </c>
    </row>
    <row r="2264" spans="7:11">
      <c r="G2264">
        <v>45</v>
      </c>
      <c r="H2264">
        <v>11</v>
      </c>
      <c r="I2264" s="2">
        <f>INT(DATE($B$3,1,1) + (45+0.5)*365/50)</f>
        <v>0</v>
      </c>
      <c r="J2264" s="2">
        <f>I2264 - INT(ROUND($B$4 * 30.4375, 0) * (11+0.5)/50)</f>
        <v>0</v>
      </c>
      <c r="K2264" s="4">
        <f>VLOOKUP(J2264, '1_Rate_Changes'!$A$2:$C$100, 3, TRUE)</f>
        <v>0</v>
      </c>
    </row>
    <row r="2265" spans="7:11">
      <c r="G2265">
        <v>45</v>
      </c>
      <c r="H2265">
        <v>12</v>
      </c>
      <c r="I2265" s="2">
        <f>INT(DATE($B$3,1,1) + (45+0.5)*365/50)</f>
        <v>0</v>
      </c>
      <c r="J2265" s="2">
        <f>I2265 - INT(ROUND($B$4 * 30.4375, 0) * (12+0.5)/50)</f>
        <v>0</v>
      </c>
      <c r="K2265" s="4">
        <f>VLOOKUP(J2265, '1_Rate_Changes'!$A$2:$C$100, 3, TRUE)</f>
        <v>0</v>
      </c>
    </row>
    <row r="2266" spans="7:11">
      <c r="G2266">
        <v>45</v>
      </c>
      <c r="H2266">
        <v>13</v>
      </c>
      <c r="I2266" s="2">
        <f>INT(DATE($B$3,1,1) + (45+0.5)*365/50)</f>
        <v>0</v>
      </c>
      <c r="J2266" s="2">
        <f>I2266 - INT(ROUND($B$4 * 30.4375, 0) * (13+0.5)/50)</f>
        <v>0</v>
      </c>
      <c r="K2266" s="4">
        <f>VLOOKUP(J2266, '1_Rate_Changes'!$A$2:$C$100, 3, TRUE)</f>
        <v>0</v>
      </c>
    </row>
    <row r="2267" spans="7:11">
      <c r="G2267">
        <v>45</v>
      </c>
      <c r="H2267">
        <v>14</v>
      </c>
      <c r="I2267" s="2">
        <f>INT(DATE($B$3,1,1) + (45+0.5)*365/50)</f>
        <v>0</v>
      </c>
      <c r="J2267" s="2">
        <f>I2267 - INT(ROUND($B$4 * 30.4375, 0) * (14+0.5)/50)</f>
        <v>0</v>
      </c>
      <c r="K2267" s="4">
        <f>VLOOKUP(J2267, '1_Rate_Changes'!$A$2:$C$100, 3, TRUE)</f>
        <v>0</v>
      </c>
    </row>
    <row r="2268" spans="7:11">
      <c r="G2268">
        <v>45</v>
      </c>
      <c r="H2268">
        <v>15</v>
      </c>
      <c r="I2268" s="2">
        <f>INT(DATE($B$3,1,1) + (45+0.5)*365/50)</f>
        <v>0</v>
      </c>
      <c r="J2268" s="2">
        <f>I2268 - INT(ROUND($B$4 * 30.4375, 0) * (15+0.5)/50)</f>
        <v>0</v>
      </c>
      <c r="K2268" s="4">
        <f>VLOOKUP(J2268, '1_Rate_Changes'!$A$2:$C$100, 3, TRUE)</f>
        <v>0</v>
      </c>
    </row>
    <row r="2269" spans="7:11">
      <c r="G2269">
        <v>45</v>
      </c>
      <c r="H2269">
        <v>16</v>
      </c>
      <c r="I2269" s="2">
        <f>INT(DATE($B$3,1,1) + (45+0.5)*365/50)</f>
        <v>0</v>
      </c>
      <c r="J2269" s="2">
        <f>I2269 - INT(ROUND($B$4 * 30.4375, 0) * (16+0.5)/50)</f>
        <v>0</v>
      </c>
      <c r="K2269" s="4">
        <f>VLOOKUP(J2269, '1_Rate_Changes'!$A$2:$C$100, 3, TRUE)</f>
        <v>0</v>
      </c>
    </row>
    <row r="2270" spans="7:11">
      <c r="G2270">
        <v>45</v>
      </c>
      <c r="H2270">
        <v>17</v>
      </c>
      <c r="I2270" s="2">
        <f>INT(DATE($B$3,1,1) + (45+0.5)*365/50)</f>
        <v>0</v>
      </c>
      <c r="J2270" s="2">
        <f>I2270 - INT(ROUND($B$4 * 30.4375, 0) * (17+0.5)/50)</f>
        <v>0</v>
      </c>
      <c r="K2270" s="4">
        <f>VLOOKUP(J2270, '1_Rate_Changes'!$A$2:$C$100, 3, TRUE)</f>
        <v>0</v>
      </c>
    </row>
    <row r="2271" spans="7:11">
      <c r="G2271">
        <v>45</v>
      </c>
      <c r="H2271">
        <v>18</v>
      </c>
      <c r="I2271" s="2">
        <f>INT(DATE($B$3,1,1) + (45+0.5)*365/50)</f>
        <v>0</v>
      </c>
      <c r="J2271" s="2">
        <f>I2271 - INT(ROUND($B$4 * 30.4375, 0) * (18+0.5)/50)</f>
        <v>0</v>
      </c>
      <c r="K2271" s="4">
        <f>VLOOKUP(J2271, '1_Rate_Changes'!$A$2:$C$100, 3, TRUE)</f>
        <v>0</v>
      </c>
    </row>
    <row r="2272" spans="7:11">
      <c r="G2272">
        <v>45</v>
      </c>
      <c r="H2272">
        <v>19</v>
      </c>
      <c r="I2272" s="2">
        <f>INT(DATE($B$3,1,1) + (45+0.5)*365/50)</f>
        <v>0</v>
      </c>
      <c r="J2272" s="2">
        <f>I2272 - INT(ROUND($B$4 * 30.4375, 0) * (19+0.5)/50)</f>
        <v>0</v>
      </c>
      <c r="K2272" s="4">
        <f>VLOOKUP(J2272, '1_Rate_Changes'!$A$2:$C$100, 3, TRUE)</f>
        <v>0</v>
      </c>
    </row>
    <row r="2273" spans="7:11">
      <c r="G2273">
        <v>45</v>
      </c>
      <c r="H2273">
        <v>20</v>
      </c>
      <c r="I2273" s="2">
        <f>INT(DATE($B$3,1,1) + (45+0.5)*365/50)</f>
        <v>0</v>
      </c>
      <c r="J2273" s="2">
        <f>I2273 - INT(ROUND($B$4 * 30.4375, 0) * (20+0.5)/50)</f>
        <v>0</v>
      </c>
      <c r="K2273" s="4">
        <f>VLOOKUP(J2273, '1_Rate_Changes'!$A$2:$C$100, 3, TRUE)</f>
        <v>0</v>
      </c>
    </row>
    <row r="2274" spans="7:11">
      <c r="G2274">
        <v>45</v>
      </c>
      <c r="H2274">
        <v>21</v>
      </c>
      <c r="I2274" s="2">
        <f>INT(DATE($B$3,1,1) + (45+0.5)*365/50)</f>
        <v>0</v>
      </c>
      <c r="J2274" s="2">
        <f>I2274 - INT(ROUND($B$4 * 30.4375, 0) * (21+0.5)/50)</f>
        <v>0</v>
      </c>
      <c r="K2274" s="4">
        <f>VLOOKUP(J2274, '1_Rate_Changes'!$A$2:$C$100, 3, TRUE)</f>
        <v>0</v>
      </c>
    </row>
    <row r="2275" spans="7:11">
      <c r="G2275">
        <v>45</v>
      </c>
      <c r="H2275">
        <v>22</v>
      </c>
      <c r="I2275" s="2">
        <f>INT(DATE($B$3,1,1) + (45+0.5)*365/50)</f>
        <v>0</v>
      </c>
      <c r="J2275" s="2">
        <f>I2275 - INT(ROUND($B$4 * 30.4375, 0) * (22+0.5)/50)</f>
        <v>0</v>
      </c>
      <c r="K2275" s="4">
        <f>VLOOKUP(J2275, '1_Rate_Changes'!$A$2:$C$100, 3, TRUE)</f>
        <v>0</v>
      </c>
    </row>
    <row r="2276" spans="7:11">
      <c r="G2276">
        <v>45</v>
      </c>
      <c r="H2276">
        <v>23</v>
      </c>
      <c r="I2276" s="2">
        <f>INT(DATE($B$3,1,1) + (45+0.5)*365/50)</f>
        <v>0</v>
      </c>
      <c r="J2276" s="2">
        <f>I2276 - INT(ROUND($B$4 * 30.4375, 0) * (23+0.5)/50)</f>
        <v>0</v>
      </c>
      <c r="K2276" s="4">
        <f>VLOOKUP(J2276, '1_Rate_Changes'!$A$2:$C$100, 3, TRUE)</f>
        <v>0</v>
      </c>
    </row>
    <row r="2277" spans="7:11">
      <c r="G2277">
        <v>45</v>
      </c>
      <c r="H2277">
        <v>24</v>
      </c>
      <c r="I2277" s="2">
        <f>INT(DATE($B$3,1,1) + (45+0.5)*365/50)</f>
        <v>0</v>
      </c>
      <c r="J2277" s="2">
        <f>I2277 - INT(ROUND($B$4 * 30.4375, 0) * (24+0.5)/50)</f>
        <v>0</v>
      </c>
      <c r="K2277" s="4">
        <f>VLOOKUP(J2277, '1_Rate_Changes'!$A$2:$C$100, 3, TRUE)</f>
        <v>0</v>
      </c>
    </row>
    <row r="2278" spans="7:11">
      <c r="G2278">
        <v>45</v>
      </c>
      <c r="H2278">
        <v>25</v>
      </c>
      <c r="I2278" s="2">
        <f>INT(DATE($B$3,1,1) + (45+0.5)*365/50)</f>
        <v>0</v>
      </c>
      <c r="J2278" s="2">
        <f>I2278 - INT(ROUND($B$4 * 30.4375, 0) * (25+0.5)/50)</f>
        <v>0</v>
      </c>
      <c r="K2278" s="4">
        <f>VLOOKUP(J2278, '1_Rate_Changes'!$A$2:$C$100, 3, TRUE)</f>
        <v>0</v>
      </c>
    </row>
    <row r="2279" spans="7:11">
      <c r="G2279">
        <v>45</v>
      </c>
      <c r="H2279">
        <v>26</v>
      </c>
      <c r="I2279" s="2">
        <f>INT(DATE($B$3,1,1) + (45+0.5)*365/50)</f>
        <v>0</v>
      </c>
      <c r="J2279" s="2">
        <f>I2279 - INT(ROUND($B$4 * 30.4375, 0) * (26+0.5)/50)</f>
        <v>0</v>
      </c>
      <c r="K2279" s="4">
        <f>VLOOKUP(J2279, '1_Rate_Changes'!$A$2:$C$100, 3, TRUE)</f>
        <v>0</v>
      </c>
    </row>
    <row r="2280" spans="7:11">
      <c r="G2280">
        <v>45</v>
      </c>
      <c r="H2280">
        <v>27</v>
      </c>
      <c r="I2280" s="2">
        <f>INT(DATE($B$3,1,1) + (45+0.5)*365/50)</f>
        <v>0</v>
      </c>
      <c r="J2280" s="2">
        <f>I2280 - INT(ROUND($B$4 * 30.4375, 0) * (27+0.5)/50)</f>
        <v>0</v>
      </c>
      <c r="K2280" s="4">
        <f>VLOOKUP(J2280, '1_Rate_Changes'!$A$2:$C$100, 3, TRUE)</f>
        <v>0</v>
      </c>
    </row>
    <row r="2281" spans="7:11">
      <c r="G2281">
        <v>45</v>
      </c>
      <c r="H2281">
        <v>28</v>
      </c>
      <c r="I2281" s="2">
        <f>INT(DATE($B$3,1,1) + (45+0.5)*365/50)</f>
        <v>0</v>
      </c>
      <c r="J2281" s="2">
        <f>I2281 - INT(ROUND($B$4 * 30.4375, 0) * (28+0.5)/50)</f>
        <v>0</v>
      </c>
      <c r="K2281" s="4">
        <f>VLOOKUP(J2281, '1_Rate_Changes'!$A$2:$C$100, 3, TRUE)</f>
        <v>0</v>
      </c>
    </row>
    <row r="2282" spans="7:11">
      <c r="G2282">
        <v>45</v>
      </c>
      <c r="H2282">
        <v>29</v>
      </c>
      <c r="I2282" s="2">
        <f>INT(DATE($B$3,1,1) + (45+0.5)*365/50)</f>
        <v>0</v>
      </c>
      <c r="J2282" s="2">
        <f>I2282 - INT(ROUND($B$4 * 30.4375, 0) * (29+0.5)/50)</f>
        <v>0</v>
      </c>
      <c r="K2282" s="4">
        <f>VLOOKUP(J2282, '1_Rate_Changes'!$A$2:$C$100, 3, TRUE)</f>
        <v>0</v>
      </c>
    </row>
    <row r="2283" spans="7:11">
      <c r="G2283">
        <v>45</v>
      </c>
      <c r="H2283">
        <v>30</v>
      </c>
      <c r="I2283" s="2">
        <f>INT(DATE($B$3,1,1) + (45+0.5)*365/50)</f>
        <v>0</v>
      </c>
      <c r="J2283" s="2">
        <f>I2283 - INT(ROUND($B$4 * 30.4375, 0) * (30+0.5)/50)</f>
        <v>0</v>
      </c>
      <c r="K2283" s="4">
        <f>VLOOKUP(J2283, '1_Rate_Changes'!$A$2:$C$100, 3, TRUE)</f>
        <v>0</v>
      </c>
    </row>
    <row r="2284" spans="7:11">
      <c r="G2284">
        <v>45</v>
      </c>
      <c r="H2284">
        <v>31</v>
      </c>
      <c r="I2284" s="2">
        <f>INT(DATE($B$3,1,1) + (45+0.5)*365/50)</f>
        <v>0</v>
      </c>
      <c r="J2284" s="2">
        <f>I2284 - INT(ROUND($B$4 * 30.4375, 0) * (31+0.5)/50)</f>
        <v>0</v>
      </c>
      <c r="K2284" s="4">
        <f>VLOOKUP(J2284, '1_Rate_Changes'!$A$2:$C$100, 3, TRUE)</f>
        <v>0</v>
      </c>
    </row>
    <row r="2285" spans="7:11">
      <c r="G2285">
        <v>45</v>
      </c>
      <c r="H2285">
        <v>32</v>
      </c>
      <c r="I2285" s="2">
        <f>INT(DATE($B$3,1,1) + (45+0.5)*365/50)</f>
        <v>0</v>
      </c>
      <c r="J2285" s="2">
        <f>I2285 - INT(ROUND($B$4 * 30.4375, 0) * (32+0.5)/50)</f>
        <v>0</v>
      </c>
      <c r="K2285" s="4">
        <f>VLOOKUP(J2285, '1_Rate_Changes'!$A$2:$C$100, 3, TRUE)</f>
        <v>0</v>
      </c>
    </row>
    <row r="2286" spans="7:11">
      <c r="G2286">
        <v>45</v>
      </c>
      <c r="H2286">
        <v>33</v>
      </c>
      <c r="I2286" s="2">
        <f>INT(DATE($B$3,1,1) + (45+0.5)*365/50)</f>
        <v>0</v>
      </c>
      <c r="J2286" s="2">
        <f>I2286 - INT(ROUND($B$4 * 30.4375, 0) * (33+0.5)/50)</f>
        <v>0</v>
      </c>
      <c r="K2286" s="4">
        <f>VLOOKUP(J2286, '1_Rate_Changes'!$A$2:$C$100, 3, TRUE)</f>
        <v>0</v>
      </c>
    </row>
    <row r="2287" spans="7:11">
      <c r="G2287">
        <v>45</v>
      </c>
      <c r="H2287">
        <v>34</v>
      </c>
      <c r="I2287" s="2">
        <f>INT(DATE($B$3,1,1) + (45+0.5)*365/50)</f>
        <v>0</v>
      </c>
      <c r="J2287" s="2">
        <f>I2287 - INT(ROUND($B$4 * 30.4375, 0) * (34+0.5)/50)</f>
        <v>0</v>
      </c>
      <c r="K2287" s="4">
        <f>VLOOKUP(J2287, '1_Rate_Changes'!$A$2:$C$100, 3, TRUE)</f>
        <v>0</v>
      </c>
    </row>
    <row r="2288" spans="7:11">
      <c r="G2288">
        <v>45</v>
      </c>
      <c r="H2288">
        <v>35</v>
      </c>
      <c r="I2288" s="2">
        <f>INT(DATE($B$3,1,1) + (45+0.5)*365/50)</f>
        <v>0</v>
      </c>
      <c r="J2288" s="2">
        <f>I2288 - INT(ROUND($B$4 * 30.4375, 0) * (35+0.5)/50)</f>
        <v>0</v>
      </c>
      <c r="K2288" s="4">
        <f>VLOOKUP(J2288, '1_Rate_Changes'!$A$2:$C$100, 3, TRUE)</f>
        <v>0</v>
      </c>
    </row>
    <row r="2289" spans="7:11">
      <c r="G2289">
        <v>45</v>
      </c>
      <c r="H2289">
        <v>36</v>
      </c>
      <c r="I2289" s="2">
        <f>INT(DATE($B$3,1,1) + (45+0.5)*365/50)</f>
        <v>0</v>
      </c>
      <c r="J2289" s="2">
        <f>I2289 - INT(ROUND($B$4 * 30.4375, 0) * (36+0.5)/50)</f>
        <v>0</v>
      </c>
      <c r="K2289" s="4">
        <f>VLOOKUP(J2289, '1_Rate_Changes'!$A$2:$C$100, 3, TRUE)</f>
        <v>0</v>
      </c>
    </row>
    <row r="2290" spans="7:11">
      <c r="G2290">
        <v>45</v>
      </c>
      <c r="H2290">
        <v>37</v>
      </c>
      <c r="I2290" s="2">
        <f>INT(DATE($B$3,1,1) + (45+0.5)*365/50)</f>
        <v>0</v>
      </c>
      <c r="J2290" s="2">
        <f>I2290 - INT(ROUND($B$4 * 30.4375, 0) * (37+0.5)/50)</f>
        <v>0</v>
      </c>
      <c r="K2290" s="4">
        <f>VLOOKUP(J2290, '1_Rate_Changes'!$A$2:$C$100, 3, TRUE)</f>
        <v>0</v>
      </c>
    </row>
    <row r="2291" spans="7:11">
      <c r="G2291">
        <v>45</v>
      </c>
      <c r="H2291">
        <v>38</v>
      </c>
      <c r="I2291" s="2">
        <f>INT(DATE($B$3,1,1) + (45+0.5)*365/50)</f>
        <v>0</v>
      </c>
      <c r="J2291" s="2">
        <f>I2291 - INT(ROUND($B$4 * 30.4375, 0) * (38+0.5)/50)</f>
        <v>0</v>
      </c>
      <c r="K2291" s="4">
        <f>VLOOKUP(J2291, '1_Rate_Changes'!$A$2:$C$100, 3, TRUE)</f>
        <v>0</v>
      </c>
    </row>
    <row r="2292" spans="7:11">
      <c r="G2292">
        <v>45</v>
      </c>
      <c r="H2292">
        <v>39</v>
      </c>
      <c r="I2292" s="2">
        <f>INT(DATE($B$3,1,1) + (45+0.5)*365/50)</f>
        <v>0</v>
      </c>
      <c r="J2292" s="2">
        <f>I2292 - INT(ROUND($B$4 * 30.4375, 0) * (39+0.5)/50)</f>
        <v>0</v>
      </c>
      <c r="K2292" s="4">
        <f>VLOOKUP(J2292, '1_Rate_Changes'!$A$2:$C$100, 3, TRUE)</f>
        <v>0</v>
      </c>
    </row>
    <row r="2293" spans="7:11">
      <c r="G2293">
        <v>45</v>
      </c>
      <c r="H2293">
        <v>40</v>
      </c>
      <c r="I2293" s="2">
        <f>INT(DATE($B$3,1,1) + (45+0.5)*365/50)</f>
        <v>0</v>
      </c>
      <c r="J2293" s="2">
        <f>I2293 - INT(ROUND($B$4 * 30.4375, 0) * (40+0.5)/50)</f>
        <v>0</v>
      </c>
      <c r="K2293" s="4">
        <f>VLOOKUP(J2293, '1_Rate_Changes'!$A$2:$C$100, 3, TRUE)</f>
        <v>0</v>
      </c>
    </row>
    <row r="2294" spans="7:11">
      <c r="G2294">
        <v>45</v>
      </c>
      <c r="H2294">
        <v>41</v>
      </c>
      <c r="I2294" s="2">
        <f>INT(DATE($B$3,1,1) + (45+0.5)*365/50)</f>
        <v>0</v>
      </c>
      <c r="J2294" s="2">
        <f>I2294 - INT(ROUND($B$4 * 30.4375, 0) * (41+0.5)/50)</f>
        <v>0</v>
      </c>
      <c r="K2294" s="4">
        <f>VLOOKUP(J2294, '1_Rate_Changes'!$A$2:$C$100, 3, TRUE)</f>
        <v>0</v>
      </c>
    </row>
    <row r="2295" spans="7:11">
      <c r="G2295">
        <v>45</v>
      </c>
      <c r="H2295">
        <v>42</v>
      </c>
      <c r="I2295" s="2">
        <f>INT(DATE($B$3,1,1) + (45+0.5)*365/50)</f>
        <v>0</v>
      </c>
      <c r="J2295" s="2">
        <f>I2295 - INT(ROUND($B$4 * 30.4375, 0) * (42+0.5)/50)</f>
        <v>0</v>
      </c>
      <c r="K2295" s="4">
        <f>VLOOKUP(J2295, '1_Rate_Changes'!$A$2:$C$100, 3, TRUE)</f>
        <v>0</v>
      </c>
    </row>
    <row r="2296" spans="7:11">
      <c r="G2296">
        <v>45</v>
      </c>
      <c r="H2296">
        <v>43</v>
      </c>
      <c r="I2296" s="2">
        <f>INT(DATE($B$3,1,1) + (45+0.5)*365/50)</f>
        <v>0</v>
      </c>
      <c r="J2296" s="2">
        <f>I2296 - INT(ROUND($B$4 * 30.4375, 0) * (43+0.5)/50)</f>
        <v>0</v>
      </c>
      <c r="K2296" s="4">
        <f>VLOOKUP(J2296, '1_Rate_Changes'!$A$2:$C$100, 3, TRUE)</f>
        <v>0</v>
      </c>
    </row>
    <row r="2297" spans="7:11">
      <c r="G2297">
        <v>45</v>
      </c>
      <c r="H2297">
        <v>44</v>
      </c>
      <c r="I2297" s="2">
        <f>INT(DATE($B$3,1,1) + (45+0.5)*365/50)</f>
        <v>0</v>
      </c>
      <c r="J2297" s="2">
        <f>I2297 - INT(ROUND($B$4 * 30.4375, 0) * (44+0.5)/50)</f>
        <v>0</v>
      </c>
      <c r="K2297" s="4">
        <f>VLOOKUP(J2297, '1_Rate_Changes'!$A$2:$C$100, 3, TRUE)</f>
        <v>0</v>
      </c>
    </row>
    <row r="2298" spans="7:11">
      <c r="G2298">
        <v>45</v>
      </c>
      <c r="H2298">
        <v>45</v>
      </c>
      <c r="I2298" s="2">
        <f>INT(DATE($B$3,1,1) + (45+0.5)*365/50)</f>
        <v>0</v>
      </c>
      <c r="J2298" s="2">
        <f>I2298 - INT(ROUND($B$4 * 30.4375, 0) * (45+0.5)/50)</f>
        <v>0</v>
      </c>
      <c r="K2298" s="4">
        <f>VLOOKUP(J2298, '1_Rate_Changes'!$A$2:$C$100, 3, TRUE)</f>
        <v>0</v>
      </c>
    </row>
    <row r="2299" spans="7:11">
      <c r="G2299">
        <v>45</v>
      </c>
      <c r="H2299">
        <v>46</v>
      </c>
      <c r="I2299" s="2">
        <f>INT(DATE($B$3,1,1) + (45+0.5)*365/50)</f>
        <v>0</v>
      </c>
      <c r="J2299" s="2">
        <f>I2299 - INT(ROUND($B$4 * 30.4375, 0) * (46+0.5)/50)</f>
        <v>0</v>
      </c>
      <c r="K2299" s="4">
        <f>VLOOKUP(J2299, '1_Rate_Changes'!$A$2:$C$100, 3, TRUE)</f>
        <v>0</v>
      </c>
    </row>
    <row r="2300" spans="7:11">
      <c r="G2300">
        <v>45</v>
      </c>
      <c r="H2300">
        <v>47</v>
      </c>
      <c r="I2300" s="2">
        <f>INT(DATE($B$3,1,1) + (45+0.5)*365/50)</f>
        <v>0</v>
      </c>
      <c r="J2300" s="2">
        <f>I2300 - INT(ROUND($B$4 * 30.4375, 0) * (47+0.5)/50)</f>
        <v>0</v>
      </c>
      <c r="K2300" s="4">
        <f>VLOOKUP(J2300, '1_Rate_Changes'!$A$2:$C$100, 3, TRUE)</f>
        <v>0</v>
      </c>
    </row>
    <row r="2301" spans="7:11">
      <c r="G2301">
        <v>45</v>
      </c>
      <c r="H2301">
        <v>48</v>
      </c>
      <c r="I2301" s="2">
        <f>INT(DATE($B$3,1,1) + (45+0.5)*365/50)</f>
        <v>0</v>
      </c>
      <c r="J2301" s="2">
        <f>I2301 - INT(ROUND($B$4 * 30.4375, 0) * (48+0.5)/50)</f>
        <v>0</v>
      </c>
      <c r="K2301" s="4">
        <f>VLOOKUP(J2301, '1_Rate_Changes'!$A$2:$C$100, 3, TRUE)</f>
        <v>0</v>
      </c>
    </row>
    <row r="2302" spans="7:11">
      <c r="G2302">
        <v>45</v>
      </c>
      <c r="H2302">
        <v>49</v>
      </c>
      <c r="I2302" s="2">
        <f>INT(DATE($B$3,1,1) + (45+0.5)*365/50)</f>
        <v>0</v>
      </c>
      <c r="J2302" s="2">
        <f>I2302 - INT(ROUND($B$4 * 30.4375, 0) * (49+0.5)/50)</f>
        <v>0</v>
      </c>
      <c r="K2302" s="4">
        <f>VLOOKUP(J2302, '1_Rate_Changes'!$A$2:$C$100, 3, TRUE)</f>
        <v>0</v>
      </c>
    </row>
    <row r="2303" spans="7:11">
      <c r="G2303">
        <v>46</v>
      </c>
      <c r="H2303">
        <v>0</v>
      </c>
      <c r="I2303" s="2">
        <f>INT(DATE($B$3,1,1) + (46+0.5)*365/50)</f>
        <v>0</v>
      </c>
      <c r="J2303" s="2">
        <f>I2303 - INT(ROUND($B$4 * 30.4375, 0) * (0+0.5)/50)</f>
        <v>0</v>
      </c>
      <c r="K2303" s="4">
        <f>VLOOKUP(J2303, '1_Rate_Changes'!$A$2:$C$100, 3, TRUE)</f>
        <v>0</v>
      </c>
    </row>
    <row r="2304" spans="7:11">
      <c r="G2304">
        <v>46</v>
      </c>
      <c r="H2304">
        <v>1</v>
      </c>
      <c r="I2304" s="2">
        <f>INT(DATE($B$3,1,1) + (46+0.5)*365/50)</f>
        <v>0</v>
      </c>
      <c r="J2304" s="2">
        <f>I2304 - INT(ROUND($B$4 * 30.4375, 0) * (1+0.5)/50)</f>
        <v>0</v>
      </c>
      <c r="K2304" s="4">
        <f>VLOOKUP(J2304, '1_Rate_Changes'!$A$2:$C$100, 3, TRUE)</f>
        <v>0</v>
      </c>
    </row>
    <row r="2305" spans="7:11">
      <c r="G2305">
        <v>46</v>
      </c>
      <c r="H2305">
        <v>2</v>
      </c>
      <c r="I2305" s="2">
        <f>INT(DATE($B$3,1,1) + (46+0.5)*365/50)</f>
        <v>0</v>
      </c>
      <c r="J2305" s="2">
        <f>I2305 - INT(ROUND($B$4 * 30.4375, 0) * (2+0.5)/50)</f>
        <v>0</v>
      </c>
      <c r="K2305" s="4">
        <f>VLOOKUP(J2305, '1_Rate_Changes'!$A$2:$C$100, 3, TRUE)</f>
        <v>0</v>
      </c>
    </row>
    <row r="2306" spans="7:11">
      <c r="G2306">
        <v>46</v>
      </c>
      <c r="H2306">
        <v>3</v>
      </c>
      <c r="I2306" s="2">
        <f>INT(DATE($B$3,1,1) + (46+0.5)*365/50)</f>
        <v>0</v>
      </c>
      <c r="J2306" s="2">
        <f>I2306 - INT(ROUND($B$4 * 30.4375, 0) * (3+0.5)/50)</f>
        <v>0</v>
      </c>
      <c r="K2306" s="4">
        <f>VLOOKUP(J2306, '1_Rate_Changes'!$A$2:$C$100, 3, TRUE)</f>
        <v>0</v>
      </c>
    </row>
    <row r="2307" spans="7:11">
      <c r="G2307">
        <v>46</v>
      </c>
      <c r="H2307">
        <v>4</v>
      </c>
      <c r="I2307" s="2">
        <f>INT(DATE($B$3,1,1) + (46+0.5)*365/50)</f>
        <v>0</v>
      </c>
      <c r="J2307" s="2">
        <f>I2307 - INT(ROUND($B$4 * 30.4375, 0) * (4+0.5)/50)</f>
        <v>0</v>
      </c>
      <c r="K2307" s="4">
        <f>VLOOKUP(J2307, '1_Rate_Changes'!$A$2:$C$100, 3, TRUE)</f>
        <v>0</v>
      </c>
    </row>
    <row r="2308" spans="7:11">
      <c r="G2308">
        <v>46</v>
      </c>
      <c r="H2308">
        <v>5</v>
      </c>
      <c r="I2308" s="2">
        <f>INT(DATE($B$3,1,1) + (46+0.5)*365/50)</f>
        <v>0</v>
      </c>
      <c r="J2308" s="2">
        <f>I2308 - INT(ROUND($B$4 * 30.4375, 0) * (5+0.5)/50)</f>
        <v>0</v>
      </c>
      <c r="K2308" s="4">
        <f>VLOOKUP(J2308, '1_Rate_Changes'!$A$2:$C$100, 3, TRUE)</f>
        <v>0</v>
      </c>
    </row>
    <row r="2309" spans="7:11">
      <c r="G2309">
        <v>46</v>
      </c>
      <c r="H2309">
        <v>6</v>
      </c>
      <c r="I2309" s="2">
        <f>INT(DATE($B$3,1,1) + (46+0.5)*365/50)</f>
        <v>0</v>
      </c>
      <c r="J2309" s="2">
        <f>I2309 - INT(ROUND($B$4 * 30.4375, 0) * (6+0.5)/50)</f>
        <v>0</v>
      </c>
      <c r="K2309" s="4">
        <f>VLOOKUP(J2309, '1_Rate_Changes'!$A$2:$C$100, 3, TRUE)</f>
        <v>0</v>
      </c>
    </row>
    <row r="2310" spans="7:11">
      <c r="G2310">
        <v>46</v>
      </c>
      <c r="H2310">
        <v>7</v>
      </c>
      <c r="I2310" s="2">
        <f>INT(DATE($B$3,1,1) + (46+0.5)*365/50)</f>
        <v>0</v>
      </c>
      <c r="J2310" s="2">
        <f>I2310 - INT(ROUND($B$4 * 30.4375, 0) * (7+0.5)/50)</f>
        <v>0</v>
      </c>
      <c r="K2310" s="4">
        <f>VLOOKUP(J2310, '1_Rate_Changes'!$A$2:$C$100, 3, TRUE)</f>
        <v>0</v>
      </c>
    </row>
    <row r="2311" spans="7:11">
      <c r="G2311">
        <v>46</v>
      </c>
      <c r="H2311">
        <v>8</v>
      </c>
      <c r="I2311" s="2">
        <f>INT(DATE($B$3,1,1) + (46+0.5)*365/50)</f>
        <v>0</v>
      </c>
      <c r="J2311" s="2">
        <f>I2311 - INT(ROUND($B$4 * 30.4375, 0) * (8+0.5)/50)</f>
        <v>0</v>
      </c>
      <c r="K2311" s="4">
        <f>VLOOKUP(J2311, '1_Rate_Changes'!$A$2:$C$100, 3, TRUE)</f>
        <v>0</v>
      </c>
    </row>
    <row r="2312" spans="7:11">
      <c r="G2312">
        <v>46</v>
      </c>
      <c r="H2312">
        <v>9</v>
      </c>
      <c r="I2312" s="2">
        <f>INT(DATE($B$3,1,1) + (46+0.5)*365/50)</f>
        <v>0</v>
      </c>
      <c r="J2312" s="2">
        <f>I2312 - INT(ROUND($B$4 * 30.4375, 0) * (9+0.5)/50)</f>
        <v>0</v>
      </c>
      <c r="K2312" s="4">
        <f>VLOOKUP(J2312, '1_Rate_Changes'!$A$2:$C$100, 3, TRUE)</f>
        <v>0</v>
      </c>
    </row>
    <row r="2313" spans="7:11">
      <c r="G2313">
        <v>46</v>
      </c>
      <c r="H2313">
        <v>10</v>
      </c>
      <c r="I2313" s="2">
        <f>INT(DATE($B$3,1,1) + (46+0.5)*365/50)</f>
        <v>0</v>
      </c>
      <c r="J2313" s="2">
        <f>I2313 - INT(ROUND($B$4 * 30.4375, 0) * (10+0.5)/50)</f>
        <v>0</v>
      </c>
      <c r="K2313" s="4">
        <f>VLOOKUP(J2313, '1_Rate_Changes'!$A$2:$C$100, 3, TRUE)</f>
        <v>0</v>
      </c>
    </row>
    <row r="2314" spans="7:11">
      <c r="G2314">
        <v>46</v>
      </c>
      <c r="H2314">
        <v>11</v>
      </c>
      <c r="I2314" s="2">
        <f>INT(DATE($B$3,1,1) + (46+0.5)*365/50)</f>
        <v>0</v>
      </c>
      <c r="J2314" s="2">
        <f>I2314 - INT(ROUND($B$4 * 30.4375, 0) * (11+0.5)/50)</f>
        <v>0</v>
      </c>
      <c r="K2314" s="4">
        <f>VLOOKUP(J2314, '1_Rate_Changes'!$A$2:$C$100, 3, TRUE)</f>
        <v>0</v>
      </c>
    </row>
    <row r="2315" spans="7:11">
      <c r="G2315">
        <v>46</v>
      </c>
      <c r="H2315">
        <v>12</v>
      </c>
      <c r="I2315" s="2">
        <f>INT(DATE($B$3,1,1) + (46+0.5)*365/50)</f>
        <v>0</v>
      </c>
      <c r="J2315" s="2">
        <f>I2315 - INT(ROUND($B$4 * 30.4375, 0) * (12+0.5)/50)</f>
        <v>0</v>
      </c>
      <c r="K2315" s="4">
        <f>VLOOKUP(J2315, '1_Rate_Changes'!$A$2:$C$100, 3, TRUE)</f>
        <v>0</v>
      </c>
    </row>
    <row r="2316" spans="7:11">
      <c r="G2316">
        <v>46</v>
      </c>
      <c r="H2316">
        <v>13</v>
      </c>
      <c r="I2316" s="2">
        <f>INT(DATE($B$3,1,1) + (46+0.5)*365/50)</f>
        <v>0</v>
      </c>
      <c r="J2316" s="2">
        <f>I2316 - INT(ROUND($B$4 * 30.4375, 0) * (13+0.5)/50)</f>
        <v>0</v>
      </c>
      <c r="K2316" s="4">
        <f>VLOOKUP(J2316, '1_Rate_Changes'!$A$2:$C$100, 3, TRUE)</f>
        <v>0</v>
      </c>
    </row>
    <row r="2317" spans="7:11">
      <c r="G2317">
        <v>46</v>
      </c>
      <c r="H2317">
        <v>14</v>
      </c>
      <c r="I2317" s="2">
        <f>INT(DATE($B$3,1,1) + (46+0.5)*365/50)</f>
        <v>0</v>
      </c>
      <c r="J2317" s="2">
        <f>I2317 - INT(ROUND($B$4 * 30.4375, 0) * (14+0.5)/50)</f>
        <v>0</v>
      </c>
      <c r="K2317" s="4">
        <f>VLOOKUP(J2317, '1_Rate_Changes'!$A$2:$C$100, 3, TRUE)</f>
        <v>0</v>
      </c>
    </row>
    <row r="2318" spans="7:11">
      <c r="G2318">
        <v>46</v>
      </c>
      <c r="H2318">
        <v>15</v>
      </c>
      <c r="I2318" s="2">
        <f>INT(DATE($B$3,1,1) + (46+0.5)*365/50)</f>
        <v>0</v>
      </c>
      <c r="J2318" s="2">
        <f>I2318 - INT(ROUND($B$4 * 30.4375, 0) * (15+0.5)/50)</f>
        <v>0</v>
      </c>
      <c r="K2318" s="4">
        <f>VLOOKUP(J2318, '1_Rate_Changes'!$A$2:$C$100, 3, TRUE)</f>
        <v>0</v>
      </c>
    </row>
    <row r="2319" spans="7:11">
      <c r="G2319">
        <v>46</v>
      </c>
      <c r="H2319">
        <v>16</v>
      </c>
      <c r="I2319" s="2">
        <f>INT(DATE($B$3,1,1) + (46+0.5)*365/50)</f>
        <v>0</v>
      </c>
      <c r="J2319" s="2">
        <f>I2319 - INT(ROUND($B$4 * 30.4375, 0) * (16+0.5)/50)</f>
        <v>0</v>
      </c>
      <c r="K2319" s="4">
        <f>VLOOKUP(J2319, '1_Rate_Changes'!$A$2:$C$100, 3, TRUE)</f>
        <v>0</v>
      </c>
    </row>
    <row r="2320" spans="7:11">
      <c r="G2320">
        <v>46</v>
      </c>
      <c r="H2320">
        <v>17</v>
      </c>
      <c r="I2320" s="2">
        <f>INT(DATE($B$3,1,1) + (46+0.5)*365/50)</f>
        <v>0</v>
      </c>
      <c r="J2320" s="2">
        <f>I2320 - INT(ROUND($B$4 * 30.4375, 0) * (17+0.5)/50)</f>
        <v>0</v>
      </c>
      <c r="K2320" s="4">
        <f>VLOOKUP(J2320, '1_Rate_Changes'!$A$2:$C$100, 3, TRUE)</f>
        <v>0</v>
      </c>
    </row>
    <row r="2321" spans="7:11">
      <c r="G2321">
        <v>46</v>
      </c>
      <c r="H2321">
        <v>18</v>
      </c>
      <c r="I2321" s="2">
        <f>INT(DATE($B$3,1,1) + (46+0.5)*365/50)</f>
        <v>0</v>
      </c>
      <c r="J2321" s="2">
        <f>I2321 - INT(ROUND($B$4 * 30.4375, 0) * (18+0.5)/50)</f>
        <v>0</v>
      </c>
      <c r="K2321" s="4">
        <f>VLOOKUP(J2321, '1_Rate_Changes'!$A$2:$C$100, 3, TRUE)</f>
        <v>0</v>
      </c>
    </row>
    <row r="2322" spans="7:11">
      <c r="G2322">
        <v>46</v>
      </c>
      <c r="H2322">
        <v>19</v>
      </c>
      <c r="I2322" s="2">
        <f>INT(DATE($B$3,1,1) + (46+0.5)*365/50)</f>
        <v>0</v>
      </c>
      <c r="J2322" s="2">
        <f>I2322 - INT(ROUND($B$4 * 30.4375, 0) * (19+0.5)/50)</f>
        <v>0</v>
      </c>
      <c r="K2322" s="4">
        <f>VLOOKUP(J2322, '1_Rate_Changes'!$A$2:$C$100, 3, TRUE)</f>
        <v>0</v>
      </c>
    </row>
    <row r="2323" spans="7:11">
      <c r="G2323">
        <v>46</v>
      </c>
      <c r="H2323">
        <v>20</v>
      </c>
      <c r="I2323" s="2">
        <f>INT(DATE($B$3,1,1) + (46+0.5)*365/50)</f>
        <v>0</v>
      </c>
      <c r="J2323" s="2">
        <f>I2323 - INT(ROUND($B$4 * 30.4375, 0) * (20+0.5)/50)</f>
        <v>0</v>
      </c>
      <c r="K2323" s="4">
        <f>VLOOKUP(J2323, '1_Rate_Changes'!$A$2:$C$100, 3, TRUE)</f>
        <v>0</v>
      </c>
    </row>
    <row r="2324" spans="7:11">
      <c r="G2324">
        <v>46</v>
      </c>
      <c r="H2324">
        <v>21</v>
      </c>
      <c r="I2324" s="2">
        <f>INT(DATE($B$3,1,1) + (46+0.5)*365/50)</f>
        <v>0</v>
      </c>
      <c r="J2324" s="2">
        <f>I2324 - INT(ROUND($B$4 * 30.4375, 0) * (21+0.5)/50)</f>
        <v>0</v>
      </c>
      <c r="K2324" s="4">
        <f>VLOOKUP(J2324, '1_Rate_Changes'!$A$2:$C$100, 3, TRUE)</f>
        <v>0</v>
      </c>
    </row>
    <row r="2325" spans="7:11">
      <c r="G2325">
        <v>46</v>
      </c>
      <c r="H2325">
        <v>22</v>
      </c>
      <c r="I2325" s="2">
        <f>INT(DATE($B$3,1,1) + (46+0.5)*365/50)</f>
        <v>0</v>
      </c>
      <c r="J2325" s="2">
        <f>I2325 - INT(ROUND($B$4 * 30.4375, 0) * (22+0.5)/50)</f>
        <v>0</v>
      </c>
      <c r="K2325" s="4">
        <f>VLOOKUP(J2325, '1_Rate_Changes'!$A$2:$C$100, 3, TRUE)</f>
        <v>0</v>
      </c>
    </row>
    <row r="2326" spans="7:11">
      <c r="G2326">
        <v>46</v>
      </c>
      <c r="H2326">
        <v>23</v>
      </c>
      <c r="I2326" s="2">
        <f>INT(DATE($B$3,1,1) + (46+0.5)*365/50)</f>
        <v>0</v>
      </c>
      <c r="J2326" s="2">
        <f>I2326 - INT(ROUND($B$4 * 30.4375, 0) * (23+0.5)/50)</f>
        <v>0</v>
      </c>
      <c r="K2326" s="4">
        <f>VLOOKUP(J2326, '1_Rate_Changes'!$A$2:$C$100, 3, TRUE)</f>
        <v>0</v>
      </c>
    </row>
    <row r="2327" spans="7:11">
      <c r="G2327">
        <v>46</v>
      </c>
      <c r="H2327">
        <v>24</v>
      </c>
      <c r="I2327" s="2">
        <f>INT(DATE($B$3,1,1) + (46+0.5)*365/50)</f>
        <v>0</v>
      </c>
      <c r="J2327" s="2">
        <f>I2327 - INT(ROUND($B$4 * 30.4375, 0) * (24+0.5)/50)</f>
        <v>0</v>
      </c>
      <c r="K2327" s="4">
        <f>VLOOKUP(J2327, '1_Rate_Changes'!$A$2:$C$100, 3, TRUE)</f>
        <v>0</v>
      </c>
    </row>
    <row r="2328" spans="7:11">
      <c r="G2328">
        <v>46</v>
      </c>
      <c r="H2328">
        <v>25</v>
      </c>
      <c r="I2328" s="2">
        <f>INT(DATE($B$3,1,1) + (46+0.5)*365/50)</f>
        <v>0</v>
      </c>
      <c r="J2328" s="2">
        <f>I2328 - INT(ROUND($B$4 * 30.4375, 0) * (25+0.5)/50)</f>
        <v>0</v>
      </c>
      <c r="K2328" s="4">
        <f>VLOOKUP(J2328, '1_Rate_Changes'!$A$2:$C$100, 3, TRUE)</f>
        <v>0</v>
      </c>
    </row>
    <row r="2329" spans="7:11">
      <c r="G2329">
        <v>46</v>
      </c>
      <c r="H2329">
        <v>26</v>
      </c>
      <c r="I2329" s="2">
        <f>INT(DATE($B$3,1,1) + (46+0.5)*365/50)</f>
        <v>0</v>
      </c>
      <c r="J2329" s="2">
        <f>I2329 - INT(ROUND($B$4 * 30.4375, 0) * (26+0.5)/50)</f>
        <v>0</v>
      </c>
      <c r="K2329" s="4">
        <f>VLOOKUP(J2329, '1_Rate_Changes'!$A$2:$C$100, 3, TRUE)</f>
        <v>0</v>
      </c>
    </row>
    <row r="2330" spans="7:11">
      <c r="G2330">
        <v>46</v>
      </c>
      <c r="H2330">
        <v>27</v>
      </c>
      <c r="I2330" s="2">
        <f>INT(DATE($B$3,1,1) + (46+0.5)*365/50)</f>
        <v>0</v>
      </c>
      <c r="J2330" s="2">
        <f>I2330 - INT(ROUND($B$4 * 30.4375, 0) * (27+0.5)/50)</f>
        <v>0</v>
      </c>
      <c r="K2330" s="4">
        <f>VLOOKUP(J2330, '1_Rate_Changes'!$A$2:$C$100, 3, TRUE)</f>
        <v>0</v>
      </c>
    </row>
    <row r="2331" spans="7:11">
      <c r="G2331">
        <v>46</v>
      </c>
      <c r="H2331">
        <v>28</v>
      </c>
      <c r="I2331" s="2">
        <f>INT(DATE($B$3,1,1) + (46+0.5)*365/50)</f>
        <v>0</v>
      </c>
      <c r="J2331" s="2">
        <f>I2331 - INT(ROUND($B$4 * 30.4375, 0) * (28+0.5)/50)</f>
        <v>0</v>
      </c>
      <c r="K2331" s="4">
        <f>VLOOKUP(J2331, '1_Rate_Changes'!$A$2:$C$100, 3, TRUE)</f>
        <v>0</v>
      </c>
    </row>
    <row r="2332" spans="7:11">
      <c r="G2332">
        <v>46</v>
      </c>
      <c r="H2332">
        <v>29</v>
      </c>
      <c r="I2332" s="2">
        <f>INT(DATE($B$3,1,1) + (46+0.5)*365/50)</f>
        <v>0</v>
      </c>
      <c r="J2332" s="2">
        <f>I2332 - INT(ROUND($B$4 * 30.4375, 0) * (29+0.5)/50)</f>
        <v>0</v>
      </c>
      <c r="K2332" s="4">
        <f>VLOOKUP(J2332, '1_Rate_Changes'!$A$2:$C$100, 3, TRUE)</f>
        <v>0</v>
      </c>
    </row>
    <row r="2333" spans="7:11">
      <c r="G2333">
        <v>46</v>
      </c>
      <c r="H2333">
        <v>30</v>
      </c>
      <c r="I2333" s="2">
        <f>INT(DATE($B$3,1,1) + (46+0.5)*365/50)</f>
        <v>0</v>
      </c>
      <c r="J2333" s="2">
        <f>I2333 - INT(ROUND($B$4 * 30.4375, 0) * (30+0.5)/50)</f>
        <v>0</v>
      </c>
      <c r="K2333" s="4">
        <f>VLOOKUP(J2333, '1_Rate_Changes'!$A$2:$C$100, 3, TRUE)</f>
        <v>0</v>
      </c>
    </row>
    <row r="2334" spans="7:11">
      <c r="G2334">
        <v>46</v>
      </c>
      <c r="H2334">
        <v>31</v>
      </c>
      <c r="I2334" s="2">
        <f>INT(DATE($B$3,1,1) + (46+0.5)*365/50)</f>
        <v>0</v>
      </c>
      <c r="J2334" s="2">
        <f>I2334 - INT(ROUND($B$4 * 30.4375, 0) * (31+0.5)/50)</f>
        <v>0</v>
      </c>
      <c r="K2334" s="4">
        <f>VLOOKUP(J2334, '1_Rate_Changes'!$A$2:$C$100, 3, TRUE)</f>
        <v>0</v>
      </c>
    </row>
    <row r="2335" spans="7:11">
      <c r="G2335">
        <v>46</v>
      </c>
      <c r="H2335">
        <v>32</v>
      </c>
      <c r="I2335" s="2">
        <f>INT(DATE($B$3,1,1) + (46+0.5)*365/50)</f>
        <v>0</v>
      </c>
      <c r="J2335" s="2">
        <f>I2335 - INT(ROUND($B$4 * 30.4375, 0) * (32+0.5)/50)</f>
        <v>0</v>
      </c>
      <c r="K2335" s="4">
        <f>VLOOKUP(J2335, '1_Rate_Changes'!$A$2:$C$100, 3, TRUE)</f>
        <v>0</v>
      </c>
    </row>
    <row r="2336" spans="7:11">
      <c r="G2336">
        <v>46</v>
      </c>
      <c r="H2336">
        <v>33</v>
      </c>
      <c r="I2336" s="2">
        <f>INT(DATE($B$3,1,1) + (46+0.5)*365/50)</f>
        <v>0</v>
      </c>
      <c r="J2336" s="2">
        <f>I2336 - INT(ROUND($B$4 * 30.4375, 0) * (33+0.5)/50)</f>
        <v>0</v>
      </c>
      <c r="K2336" s="4">
        <f>VLOOKUP(J2336, '1_Rate_Changes'!$A$2:$C$100, 3, TRUE)</f>
        <v>0</v>
      </c>
    </row>
    <row r="2337" spans="7:11">
      <c r="G2337">
        <v>46</v>
      </c>
      <c r="H2337">
        <v>34</v>
      </c>
      <c r="I2337" s="2">
        <f>INT(DATE($B$3,1,1) + (46+0.5)*365/50)</f>
        <v>0</v>
      </c>
      <c r="J2337" s="2">
        <f>I2337 - INT(ROUND($B$4 * 30.4375, 0) * (34+0.5)/50)</f>
        <v>0</v>
      </c>
      <c r="K2337" s="4">
        <f>VLOOKUP(J2337, '1_Rate_Changes'!$A$2:$C$100, 3, TRUE)</f>
        <v>0</v>
      </c>
    </row>
    <row r="2338" spans="7:11">
      <c r="G2338">
        <v>46</v>
      </c>
      <c r="H2338">
        <v>35</v>
      </c>
      <c r="I2338" s="2">
        <f>INT(DATE($B$3,1,1) + (46+0.5)*365/50)</f>
        <v>0</v>
      </c>
      <c r="J2338" s="2">
        <f>I2338 - INT(ROUND($B$4 * 30.4375, 0) * (35+0.5)/50)</f>
        <v>0</v>
      </c>
      <c r="K2338" s="4">
        <f>VLOOKUP(J2338, '1_Rate_Changes'!$A$2:$C$100, 3, TRUE)</f>
        <v>0</v>
      </c>
    </row>
    <row r="2339" spans="7:11">
      <c r="G2339">
        <v>46</v>
      </c>
      <c r="H2339">
        <v>36</v>
      </c>
      <c r="I2339" s="2">
        <f>INT(DATE($B$3,1,1) + (46+0.5)*365/50)</f>
        <v>0</v>
      </c>
      <c r="J2339" s="2">
        <f>I2339 - INT(ROUND($B$4 * 30.4375, 0) * (36+0.5)/50)</f>
        <v>0</v>
      </c>
      <c r="K2339" s="4">
        <f>VLOOKUP(J2339, '1_Rate_Changes'!$A$2:$C$100, 3, TRUE)</f>
        <v>0</v>
      </c>
    </row>
    <row r="2340" spans="7:11">
      <c r="G2340">
        <v>46</v>
      </c>
      <c r="H2340">
        <v>37</v>
      </c>
      <c r="I2340" s="2">
        <f>INT(DATE($B$3,1,1) + (46+0.5)*365/50)</f>
        <v>0</v>
      </c>
      <c r="J2340" s="2">
        <f>I2340 - INT(ROUND($B$4 * 30.4375, 0) * (37+0.5)/50)</f>
        <v>0</v>
      </c>
      <c r="K2340" s="4">
        <f>VLOOKUP(J2340, '1_Rate_Changes'!$A$2:$C$100, 3, TRUE)</f>
        <v>0</v>
      </c>
    </row>
    <row r="2341" spans="7:11">
      <c r="G2341">
        <v>46</v>
      </c>
      <c r="H2341">
        <v>38</v>
      </c>
      <c r="I2341" s="2">
        <f>INT(DATE($B$3,1,1) + (46+0.5)*365/50)</f>
        <v>0</v>
      </c>
      <c r="J2341" s="2">
        <f>I2341 - INT(ROUND($B$4 * 30.4375, 0) * (38+0.5)/50)</f>
        <v>0</v>
      </c>
      <c r="K2341" s="4">
        <f>VLOOKUP(J2341, '1_Rate_Changes'!$A$2:$C$100, 3, TRUE)</f>
        <v>0</v>
      </c>
    </row>
    <row r="2342" spans="7:11">
      <c r="G2342">
        <v>46</v>
      </c>
      <c r="H2342">
        <v>39</v>
      </c>
      <c r="I2342" s="2">
        <f>INT(DATE($B$3,1,1) + (46+0.5)*365/50)</f>
        <v>0</v>
      </c>
      <c r="J2342" s="2">
        <f>I2342 - INT(ROUND($B$4 * 30.4375, 0) * (39+0.5)/50)</f>
        <v>0</v>
      </c>
      <c r="K2342" s="4">
        <f>VLOOKUP(J2342, '1_Rate_Changes'!$A$2:$C$100, 3, TRUE)</f>
        <v>0</v>
      </c>
    </row>
    <row r="2343" spans="7:11">
      <c r="G2343">
        <v>46</v>
      </c>
      <c r="H2343">
        <v>40</v>
      </c>
      <c r="I2343" s="2">
        <f>INT(DATE($B$3,1,1) + (46+0.5)*365/50)</f>
        <v>0</v>
      </c>
      <c r="J2343" s="2">
        <f>I2343 - INT(ROUND($B$4 * 30.4375, 0) * (40+0.5)/50)</f>
        <v>0</v>
      </c>
      <c r="K2343" s="4">
        <f>VLOOKUP(J2343, '1_Rate_Changes'!$A$2:$C$100, 3, TRUE)</f>
        <v>0</v>
      </c>
    </row>
    <row r="2344" spans="7:11">
      <c r="G2344">
        <v>46</v>
      </c>
      <c r="H2344">
        <v>41</v>
      </c>
      <c r="I2344" s="2">
        <f>INT(DATE($B$3,1,1) + (46+0.5)*365/50)</f>
        <v>0</v>
      </c>
      <c r="J2344" s="2">
        <f>I2344 - INT(ROUND($B$4 * 30.4375, 0) * (41+0.5)/50)</f>
        <v>0</v>
      </c>
      <c r="K2344" s="4">
        <f>VLOOKUP(J2344, '1_Rate_Changes'!$A$2:$C$100, 3, TRUE)</f>
        <v>0</v>
      </c>
    </row>
    <row r="2345" spans="7:11">
      <c r="G2345">
        <v>46</v>
      </c>
      <c r="H2345">
        <v>42</v>
      </c>
      <c r="I2345" s="2">
        <f>INT(DATE($B$3,1,1) + (46+0.5)*365/50)</f>
        <v>0</v>
      </c>
      <c r="J2345" s="2">
        <f>I2345 - INT(ROUND($B$4 * 30.4375, 0) * (42+0.5)/50)</f>
        <v>0</v>
      </c>
      <c r="K2345" s="4">
        <f>VLOOKUP(J2345, '1_Rate_Changes'!$A$2:$C$100, 3, TRUE)</f>
        <v>0</v>
      </c>
    </row>
    <row r="2346" spans="7:11">
      <c r="G2346">
        <v>46</v>
      </c>
      <c r="H2346">
        <v>43</v>
      </c>
      <c r="I2346" s="2">
        <f>INT(DATE($B$3,1,1) + (46+0.5)*365/50)</f>
        <v>0</v>
      </c>
      <c r="J2346" s="2">
        <f>I2346 - INT(ROUND($B$4 * 30.4375, 0) * (43+0.5)/50)</f>
        <v>0</v>
      </c>
      <c r="K2346" s="4">
        <f>VLOOKUP(J2346, '1_Rate_Changes'!$A$2:$C$100, 3, TRUE)</f>
        <v>0</v>
      </c>
    </row>
    <row r="2347" spans="7:11">
      <c r="G2347">
        <v>46</v>
      </c>
      <c r="H2347">
        <v>44</v>
      </c>
      <c r="I2347" s="2">
        <f>INT(DATE($B$3,1,1) + (46+0.5)*365/50)</f>
        <v>0</v>
      </c>
      <c r="J2347" s="2">
        <f>I2347 - INT(ROUND($B$4 * 30.4375, 0) * (44+0.5)/50)</f>
        <v>0</v>
      </c>
      <c r="K2347" s="4">
        <f>VLOOKUP(J2347, '1_Rate_Changes'!$A$2:$C$100, 3, TRUE)</f>
        <v>0</v>
      </c>
    </row>
    <row r="2348" spans="7:11">
      <c r="G2348">
        <v>46</v>
      </c>
      <c r="H2348">
        <v>45</v>
      </c>
      <c r="I2348" s="2">
        <f>INT(DATE($B$3,1,1) + (46+0.5)*365/50)</f>
        <v>0</v>
      </c>
      <c r="J2348" s="2">
        <f>I2348 - INT(ROUND($B$4 * 30.4375, 0) * (45+0.5)/50)</f>
        <v>0</v>
      </c>
      <c r="K2348" s="4">
        <f>VLOOKUP(J2348, '1_Rate_Changes'!$A$2:$C$100, 3, TRUE)</f>
        <v>0</v>
      </c>
    </row>
    <row r="2349" spans="7:11">
      <c r="G2349">
        <v>46</v>
      </c>
      <c r="H2349">
        <v>46</v>
      </c>
      <c r="I2349" s="2">
        <f>INT(DATE($B$3,1,1) + (46+0.5)*365/50)</f>
        <v>0</v>
      </c>
      <c r="J2349" s="2">
        <f>I2349 - INT(ROUND($B$4 * 30.4375, 0) * (46+0.5)/50)</f>
        <v>0</v>
      </c>
      <c r="K2349" s="4">
        <f>VLOOKUP(J2349, '1_Rate_Changes'!$A$2:$C$100, 3, TRUE)</f>
        <v>0</v>
      </c>
    </row>
    <row r="2350" spans="7:11">
      <c r="G2350">
        <v>46</v>
      </c>
      <c r="H2350">
        <v>47</v>
      </c>
      <c r="I2350" s="2">
        <f>INT(DATE($B$3,1,1) + (46+0.5)*365/50)</f>
        <v>0</v>
      </c>
      <c r="J2350" s="2">
        <f>I2350 - INT(ROUND($B$4 * 30.4375, 0) * (47+0.5)/50)</f>
        <v>0</v>
      </c>
      <c r="K2350" s="4">
        <f>VLOOKUP(J2350, '1_Rate_Changes'!$A$2:$C$100, 3, TRUE)</f>
        <v>0</v>
      </c>
    </row>
    <row r="2351" spans="7:11">
      <c r="G2351">
        <v>46</v>
      </c>
      <c r="H2351">
        <v>48</v>
      </c>
      <c r="I2351" s="2">
        <f>INT(DATE($B$3,1,1) + (46+0.5)*365/50)</f>
        <v>0</v>
      </c>
      <c r="J2351" s="2">
        <f>I2351 - INT(ROUND($B$4 * 30.4375, 0) * (48+0.5)/50)</f>
        <v>0</v>
      </c>
      <c r="K2351" s="4">
        <f>VLOOKUP(J2351, '1_Rate_Changes'!$A$2:$C$100, 3, TRUE)</f>
        <v>0</v>
      </c>
    </row>
    <row r="2352" spans="7:11">
      <c r="G2352">
        <v>46</v>
      </c>
      <c r="H2352">
        <v>49</v>
      </c>
      <c r="I2352" s="2">
        <f>INT(DATE($B$3,1,1) + (46+0.5)*365/50)</f>
        <v>0</v>
      </c>
      <c r="J2352" s="2">
        <f>I2352 - INT(ROUND($B$4 * 30.4375, 0) * (49+0.5)/50)</f>
        <v>0</v>
      </c>
      <c r="K2352" s="4">
        <f>VLOOKUP(J2352, '1_Rate_Changes'!$A$2:$C$100, 3, TRUE)</f>
        <v>0</v>
      </c>
    </row>
    <row r="2353" spans="7:11">
      <c r="G2353">
        <v>47</v>
      </c>
      <c r="H2353">
        <v>0</v>
      </c>
      <c r="I2353" s="2">
        <f>INT(DATE($B$3,1,1) + (47+0.5)*365/50)</f>
        <v>0</v>
      </c>
      <c r="J2353" s="2">
        <f>I2353 - INT(ROUND($B$4 * 30.4375, 0) * (0+0.5)/50)</f>
        <v>0</v>
      </c>
      <c r="K2353" s="4">
        <f>VLOOKUP(J2353, '1_Rate_Changes'!$A$2:$C$100, 3, TRUE)</f>
        <v>0</v>
      </c>
    </row>
    <row r="2354" spans="7:11">
      <c r="G2354">
        <v>47</v>
      </c>
      <c r="H2354">
        <v>1</v>
      </c>
      <c r="I2354" s="2">
        <f>INT(DATE($B$3,1,1) + (47+0.5)*365/50)</f>
        <v>0</v>
      </c>
      <c r="J2354" s="2">
        <f>I2354 - INT(ROUND($B$4 * 30.4375, 0) * (1+0.5)/50)</f>
        <v>0</v>
      </c>
      <c r="K2354" s="4">
        <f>VLOOKUP(J2354, '1_Rate_Changes'!$A$2:$C$100, 3, TRUE)</f>
        <v>0</v>
      </c>
    </row>
    <row r="2355" spans="7:11">
      <c r="G2355">
        <v>47</v>
      </c>
      <c r="H2355">
        <v>2</v>
      </c>
      <c r="I2355" s="2">
        <f>INT(DATE($B$3,1,1) + (47+0.5)*365/50)</f>
        <v>0</v>
      </c>
      <c r="J2355" s="2">
        <f>I2355 - INT(ROUND($B$4 * 30.4375, 0) * (2+0.5)/50)</f>
        <v>0</v>
      </c>
      <c r="K2355" s="4">
        <f>VLOOKUP(J2355, '1_Rate_Changes'!$A$2:$C$100, 3, TRUE)</f>
        <v>0</v>
      </c>
    </row>
    <row r="2356" spans="7:11">
      <c r="G2356">
        <v>47</v>
      </c>
      <c r="H2356">
        <v>3</v>
      </c>
      <c r="I2356" s="2">
        <f>INT(DATE($B$3,1,1) + (47+0.5)*365/50)</f>
        <v>0</v>
      </c>
      <c r="J2356" s="2">
        <f>I2356 - INT(ROUND($B$4 * 30.4375, 0) * (3+0.5)/50)</f>
        <v>0</v>
      </c>
      <c r="K2356" s="4">
        <f>VLOOKUP(J2356, '1_Rate_Changes'!$A$2:$C$100, 3, TRUE)</f>
        <v>0</v>
      </c>
    </row>
    <row r="2357" spans="7:11">
      <c r="G2357">
        <v>47</v>
      </c>
      <c r="H2357">
        <v>4</v>
      </c>
      <c r="I2357" s="2">
        <f>INT(DATE($B$3,1,1) + (47+0.5)*365/50)</f>
        <v>0</v>
      </c>
      <c r="J2357" s="2">
        <f>I2357 - INT(ROUND($B$4 * 30.4375, 0) * (4+0.5)/50)</f>
        <v>0</v>
      </c>
      <c r="K2357" s="4">
        <f>VLOOKUP(J2357, '1_Rate_Changes'!$A$2:$C$100, 3, TRUE)</f>
        <v>0</v>
      </c>
    </row>
    <row r="2358" spans="7:11">
      <c r="G2358">
        <v>47</v>
      </c>
      <c r="H2358">
        <v>5</v>
      </c>
      <c r="I2358" s="2">
        <f>INT(DATE($B$3,1,1) + (47+0.5)*365/50)</f>
        <v>0</v>
      </c>
      <c r="J2358" s="2">
        <f>I2358 - INT(ROUND($B$4 * 30.4375, 0) * (5+0.5)/50)</f>
        <v>0</v>
      </c>
      <c r="K2358" s="4">
        <f>VLOOKUP(J2358, '1_Rate_Changes'!$A$2:$C$100, 3, TRUE)</f>
        <v>0</v>
      </c>
    </row>
    <row r="2359" spans="7:11">
      <c r="G2359">
        <v>47</v>
      </c>
      <c r="H2359">
        <v>6</v>
      </c>
      <c r="I2359" s="2">
        <f>INT(DATE($B$3,1,1) + (47+0.5)*365/50)</f>
        <v>0</v>
      </c>
      <c r="J2359" s="2">
        <f>I2359 - INT(ROUND($B$4 * 30.4375, 0) * (6+0.5)/50)</f>
        <v>0</v>
      </c>
      <c r="K2359" s="4">
        <f>VLOOKUP(J2359, '1_Rate_Changes'!$A$2:$C$100, 3, TRUE)</f>
        <v>0</v>
      </c>
    </row>
    <row r="2360" spans="7:11">
      <c r="G2360">
        <v>47</v>
      </c>
      <c r="H2360">
        <v>7</v>
      </c>
      <c r="I2360" s="2">
        <f>INT(DATE($B$3,1,1) + (47+0.5)*365/50)</f>
        <v>0</v>
      </c>
      <c r="J2360" s="2">
        <f>I2360 - INT(ROUND($B$4 * 30.4375, 0) * (7+0.5)/50)</f>
        <v>0</v>
      </c>
      <c r="K2360" s="4">
        <f>VLOOKUP(J2360, '1_Rate_Changes'!$A$2:$C$100, 3, TRUE)</f>
        <v>0</v>
      </c>
    </row>
    <row r="2361" spans="7:11">
      <c r="G2361">
        <v>47</v>
      </c>
      <c r="H2361">
        <v>8</v>
      </c>
      <c r="I2361" s="2">
        <f>INT(DATE($B$3,1,1) + (47+0.5)*365/50)</f>
        <v>0</v>
      </c>
      <c r="J2361" s="2">
        <f>I2361 - INT(ROUND($B$4 * 30.4375, 0) * (8+0.5)/50)</f>
        <v>0</v>
      </c>
      <c r="K2361" s="4">
        <f>VLOOKUP(J2361, '1_Rate_Changes'!$A$2:$C$100, 3, TRUE)</f>
        <v>0</v>
      </c>
    </row>
    <row r="2362" spans="7:11">
      <c r="G2362">
        <v>47</v>
      </c>
      <c r="H2362">
        <v>9</v>
      </c>
      <c r="I2362" s="2">
        <f>INT(DATE($B$3,1,1) + (47+0.5)*365/50)</f>
        <v>0</v>
      </c>
      <c r="J2362" s="2">
        <f>I2362 - INT(ROUND($B$4 * 30.4375, 0) * (9+0.5)/50)</f>
        <v>0</v>
      </c>
      <c r="K2362" s="4">
        <f>VLOOKUP(J2362, '1_Rate_Changes'!$A$2:$C$100, 3, TRUE)</f>
        <v>0</v>
      </c>
    </row>
    <row r="2363" spans="7:11">
      <c r="G2363">
        <v>47</v>
      </c>
      <c r="H2363">
        <v>10</v>
      </c>
      <c r="I2363" s="2">
        <f>INT(DATE($B$3,1,1) + (47+0.5)*365/50)</f>
        <v>0</v>
      </c>
      <c r="J2363" s="2">
        <f>I2363 - INT(ROUND($B$4 * 30.4375, 0) * (10+0.5)/50)</f>
        <v>0</v>
      </c>
      <c r="K2363" s="4">
        <f>VLOOKUP(J2363, '1_Rate_Changes'!$A$2:$C$100, 3, TRUE)</f>
        <v>0</v>
      </c>
    </row>
    <row r="2364" spans="7:11">
      <c r="G2364">
        <v>47</v>
      </c>
      <c r="H2364">
        <v>11</v>
      </c>
      <c r="I2364" s="2">
        <f>INT(DATE($B$3,1,1) + (47+0.5)*365/50)</f>
        <v>0</v>
      </c>
      <c r="J2364" s="2">
        <f>I2364 - INT(ROUND($B$4 * 30.4375, 0) * (11+0.5)/50)</f>
        <v>0</v>
      </c>
      <c r="K2364" s="4">
        <f>VLOOKUP(J2364, '1_Rate_Changes'!$A$2:$C$100, 3, TRUE)</f>
        <v>0</v>
      </c>
    </row>
    <row r="2365" spans="7:11">
      <c r="G2365">
        <v>47</v>
      </c>
      <c r="H2365">
        <v>12</v>
      </c>
      <c r="I2365" s="2">
        <f>INT(DATE($B$3,1,1) + (47+0.5)*365/50)</f>
        <v>0</v>
      </c>
      <c r="J2365" s="2">
        <f>I2365 - INT(ROUND($B$4 * 30.4375, 0) * (12+0.5)/50)</f>
        <v>0</v>
      </c>
      <c r="K2365" s="4">
        <f>VLOOKUP(J2365, '1_Rate_Changes'!$A$2:$C$100, 3, TRUE)</f>
        <v>0</v>
      </c>
    </row>
    <row r="2366" spans="7:11">
      <c r="G2366">
        <v>47</v>
      </c>
      <c r="H2366">
        <v>13</v>
      </c>
      <c r="I2366" s="2">
        <f>INT(DATE($B$3,1,1) + (47+0.5)*365/50)</f>
        <v>0</v>
      </c>
      <c r="J2366" s="2">
        <f>I2366 - INT(ROUND($B$4 * 30.4375, 0) * (13+0.5)/50)</f>
        <v>0</v>
      </c>
      <c r="K2366" s="4">
        <f>VLOOKUP(J2366, '1_Rate_Changes'!$A$2:$C$100, 3, TRUE)</f>
        <v>0</v>
      </c>
    </row>
    <row r="2367" spans="7:11">
      <c r="G2367">
        <v>47</v>
      </c>
      <c r="H2367">
        <v>14</v>
      </c>
      <c r="I2367" s="2">
        <f>INT(DATE($B$3,1,1) + (47+0.5)*365/50)</f>
        <v>0</v>
      </c>
      <c r="J2367" s="2">
        <f>I2367 - INT(ROUND($B$4 * 30.4375, 0) * (14+0.5)/50)</f>
        <v>0</v>
      </c>
      <c r="K2367" s="4">
        <f>VLOOKUP(J2367, '1_Rate_Changes'!$A$2:$C$100, 3, TRUE)</f>
        <v>0</v>
      </c>
    </row>
    <row r="2368" spans="7:11">
      <c r="G2368">
        <v>47</v>
      </c>
      <c r="H2368">
        <v>15</v>
      </c>
      <c r="I2368" s="2">
        <f>INT(DATE($B$3,1,1) + (47+0.5)*365/50)</f>
        <v>0</v>
      </c>
      <c r="J2368" s="2">
        <f>I2368 - INT(ROUND($B$4 * 30.4375, 0) * (15+0.5)/50)</f>
        <v>0</v>
      </c>
      <c r="K2368" s="4">
        <f>VLOOKUP(J2368, '1_Rate_Changes'!$A$2:$C$100, 3, TRUE)</f>
        <v>0</v>
      </c>
    </row>
    <row r="2369" spans="7:11">
      <c r="G2369">
        <v>47</v>
      </c>
      <c r="H2369">
        <v>16</v>
      </c>
      <c r="I2369" s="2">
        <f>INT(DATE($B$3,1,1) + (47+0.5)*365/50)</f>
        <v>0</v>
      </c>
      <c r="J2369" s="2">
        <f>I2369 - INT(ROUND($B$4 * 30.4375, 0) * (16+0.5)/50)</f>
        <v>0</v>
      </c>
      <c r="K2369" s="4">
        <f>VLOOKUP(J2369, '1_Rate_Changes'!$A$2:$C$100, 3, TRUE)</f>
        <v>0</v>
      </c>
    </row>
    <row r="2370" spans="7:11">
      <c r="G2370">
        <v>47</v>
      </c>
      <c r="H2370">
        <v>17</v>
      </c>
      <c r="I2370" s="2">
        <f>INT(DATE($B$3,1,1) + (47+0.5)*365/50)</f>
        <v>0</v>
      </c>
      <c r="J2370" s="2">
        <f>I2370 - INT(ROUND($B$4 * 30.4375, 0) * (17+0.5)/50)</f>
        <v>0</v>
      </c>
      <c r="K2370" s="4">
        <f>VLOOKUP(J2370, '1_Rate_Changes'!$A$2:$C$100, 3, TRUE)</f>
        <v>0</v>
      </c>
    </row>
    <row r="2371" spans="7:11">
      <c r="G2371">
        <v>47</v>
      </c>
      <c r="H2371">
        <v>18</v>
      </c>
      <c r="I2371" s="2">
        <f>INT(DATE($B$3,1,1) + (47+0.5)*365/50)</f>
        <v>0</v>
      </c>
      <c r="J2371" s="2">
        <f>I2371 - INT(ROUND($B$4 * 30.4375, 0) * (18+0.5)/50)</f>
        <v>0</v>
      </c>
      <c r="K2371" s="4">
        <f>VLOOKUP(J2371, '1_Rate_Changes'!$A$2:$C$100, 3, TRUE)</f>
        <v>0</v>
      </c>
    </row>
    <row r="2372" spans="7:11">
      <c r="G2372">
        <v>47</v>
      </c>
      <c r="H2372">
        <v>19</v>
      </c>
      <c r="I2372" s="2">
        <f>INT(DATE($B$3,1,1) + (47+0.5)*365/50)</f>
        <v>0</v>
      </c>
      <c r="J2372" s="2">
        <f>I2372 - INT(ROUND($B$4 * 30.4375, 0) * (19+0.5)/50)</f>
        <v>0</v>
      </c>
      <c r="K2372" s="4">
        <f>VLOOKUP(J2372, '1_Rate_Changes'!$A$2:$C$100, 3, TRUE)</f>
        <v>0</v>
      </c>
    </row>
    <row r="2373" spans="7:11">
      <c r="G2373">
        <v>47</v>
      </c>
      <c r="H2373">
        <v>20</v>
      </c>
      <c r="I2373" s="2">
        <f>INT(DATE($B$3,1,1) + (47+0.5)*365/50)</f>
        <v>0</v>
      </c>
      <c r="J2373" s="2">
        <f>I2373 - INT(ROUND($B$4 * 30.4375, 0) * (20+0.5)/50)</f>
        <v>0</v>
      </c>
      <c r="K2373" s="4">
        <f>VLOOKUP(J2373, '1_Rate_Changes'!$A$2:$C$100, 3, TRUE)</f>
        <v>0</v>
      </c>
    </row>
    <row r="2374" spans="7:11">
      <c r="G2374">
        <v>47</v>
      </c>
      <c r="H2374">
        <v>21</v>
      </c>
      <c r="I2374" s="2">
        <f>INT(DATE($B$3,1,1) + (47+0.5)*365/50)</f>
        <v>0</v>
      </c>
      <c r="J2374" s="2">
        <f>I2374 - INT(ROUND($B$4 * 30.4375, 0) * (21+0.5)/50)</f>
        <v>0</v>
      </c>
      <c r="K2374" s="4">
        <f>VLOOKUP(J2374, '1_Rate_Changes'!$A$2:$C$100, 3, TRUE)</f>
        <v>0</v>
      </c>
    </row>
    <row r="2375" spans="7:11">
      <c r="G2375">
        <v>47</v>
      </c>
      <c r="H2375">
        <v>22</v>
      </c>
      <c r="I2375" s="2">
        <f>INT(DATE($B$3,1,1) + (47+0.5)*365/50)</f>
        <v>0</v>
      </c>
      <c r="J2375" s="2">
        <f>I2375 - INT(ROUND($B$4 * 30.4375, 0) * (22+0.5)/50)</f>
        <v>0</v>
      </c>
      <c r="K2375" s="4">
        <f>VLOOKUP(J2375, '1_Rate_Changes'!$A$2:$C$100, 3, TRUE)</f>
        <v>0</v>
      </c>
    </row>
    <row r="2376" spans="7:11">
      <c r="G2376">
        <v>47</v>
      </c>
      <c r="H2376">
        <v>23</v>
      </c>
      <c r="I2376" s="2">
        <f>INT(DATE($B$3,1,1) + (47+0.5)*365/50)</f>
        <v>0</v>
      </c>
      <c r="J2376" s="2">
        <f>I2376 - INT(ROUND($B$4 * 30.4375, 0) * (23+0.5)/50)</f>
        <v>0</v>
      </c>
      <c r="K2376" s="4">
        <f>VLOOKUP(J2376, '1_Rate_Changes'!$A$2:$C$100, 3, TRUE)</f>
        <v>0</v>
      </c>
    </row>
    <row r="2377" spans="7:11">
      <c r="G2377">
        <v>47</v>
      </c>
      <c r="H2377">
        <v>24</v>
      </c>
      <c r="I2377" s="2">
        <f>INT(DATE($B$3,1,1) + (47+0.5)*365/50)</f>
        <v>0</v>
      </c>
      <c r="J2377" s="2">
        <f>I2377 - INT(ROUND($B$4 * 30.4375, 0) * (24+0.5)/50)</f>
        <v>0</v>
      </c>
      <c r="K2377" s="4">
        <f>VLOOKUP(J2377, '1_Rate_Changes'!$A$2:$C$100, 3, TRUE)</f>
        <v>0</v>
      </c>
    </row>
    <row r="2378" spans="7:11">
      <c r="G2378">
        <v>47</v>
      </c>
      <c r="H2378">
        <v>25</v>
      </c>
      <c r="I2378" s="2">
        <f>INT(DATE($B$3,1,1) + (47+0.5)*365/50)</f>
        <v>0</v>
      </c>
      <c r="J2378" s="2">
        <f>I2378 - INT(ROUND($B$4 * 30.4375, 0) * (25+0.5)/50)</f>
        <v>0</v>
      </c>
      <c r="K2378" s="4">
        <f>VLOOKUP(J2378, '1_Rate_Changes'!$A$2:$C$100, 3, TRUE)</f>
        <v>0</v>
      </c>
    </row>
    <row r="2379" spans="7:11">
      <c r="G2379">
        <v>47</v>
      </c>
      <c r="H2379">
        <v>26</v>
      </c>
      <c r="I2379" s="2">
        <f>INT(DATE($B$3,1,1) + (47+0.5)*365/50)</f>
        <v>0</v>
      </c>
      <c r="J2379" s="2">
        <f>I2379 - INT(ROUND($B$4 * 30.4375, 0) * (26+0.5)/50)</f>
        <v>0</v>
      </c>
      <c r="K2379" s="4">
        <f>VLOOKUP(J2379, '1_Rate_Changes'!$A$2:$C$100, 3, TRUE)</f>
        <v>0</v>
      </c>
    </row>
    <row r="2380" spans="7:11">
      <c r="G2380">
        <v>47</v>
      </c>
      <c r="H2380">
        <v>27</v>
      </c>
      <c r="I2380" s="2">
        <f>INT(DATE($B$3,1,1) + (47+0.5)*365/50)</f>
        <v>0</v>
      </c>
      <c r="J2380" s="2">
        <f>I2380 - INT(ROUND($B$4 * 30.4375, 0) * (27+0.5)/50)</f>
        <v>0</v>
      </c>
      <c r="K2380" s="4">
        <f>VLOOKUP(J2380, '1_Rate_Changes'!$A$2:$C$100, 3, TRUE)</f>
        <v>0</v>
      </c>
    </row>
    <row r="2381" spans="7:11">
      <c r="G2381">
        <v>47</v>
      </c>
      <c r="H2381">
        <v>28</v>
      </c>
      <c r="I2381" s="2">
        <f>INT(DATE($B$3,1,1) + (47+0.5)*365/50)</f>
        <v>0</v>
      </c>
      <c r="J2381" s="2">
        <f>I2381 - INT(ROUND($B$4 * 30.4375, 0) * (28+0.5)/50)</f>
        <v>0</v>
      </c>
      <c r="K2381" s="4">
        <f>VLOOKUP(J2381, '1_Rate_Changes'!$A$2:$C$100, 3, TRUE)</f>
        <v>0</v>
      </c>
    </row>
    <row r="2382" spans="7:11">
      <c r="G2382">
        <v>47</v>
      </c>
      <c r="H2382">
        <v>29</v>
      </c>
      <c r="I2382" s="2">
        <f>INT(DATE($B$3,1,1) + (47+0.5)*365/50)</f>
        <v>0</v>
      </c>
      <c r="J2382" s="2">
        <f>I2382 - INT(ROUND($B$4 * 30.4375, 0) * (29+0.5)/50)</f>
        <v>0</v>
      </c>
      <c r="K2382" s="4">
        <f>VLOOKUP(J2382, '1_Rate_Changes'!$A$2:$C$100, 3, TRUE)</f>
        <v>0</v>
      </c>
    </row>
    <row r="2383" spans="7:11">
      <c r="G2383">
        <v>47</v>
      </c>
      <c r="H2383">
        <v>30</v>
      </c>
      <c r="I2383" s="2">
        <f>INT(DATE($B$3,1,1) + (47+0.5)*365/50)</f>
        <v>0</v>
      </c>
      <c r="J2383" s="2">
        <f>I2383 - INT(ROUND($B$4 * 30.4375, 0) * (30+0.5)/50)</f>
        <v>0</v>
      </c>
      <c r="K2383" s="4">
        <f>VLOOKUP(J2383, '1_Rate_Changes'!$A$2:$C$100, 3, TRUE)</f>
        <v>0</v>
      </c>
    </row>
    <row r="2384" spans="7:11">
      <c r="G2384">
        <v>47</v>
      </c>
      <c r="H2384">
        <v>31</v>
      </c>
      <c r="I2384" s="2">
        <f>INT(DATE($B$3,1,1) + (47+0.5)*365/50)</f>
        <v>0</v>
      </c>
      <c r="J2384" s="2">
        <f>I2384 - INT(ROUND($B$4 * 30.4375, 0) * (31+0.5)/50)</f>
        <v>0</v>
      </c>
      <c r="K2384" s="4">
        <f>VLOOKUP(J2384, '1_Rate_Changes'!$A$2:$C$100, 3, TRUE)</f>
        <v>0</v>
      </c>
    </row>
    <row r="2385" spans="7:11">
      <c r="G2385">
        <v>47</v>
      </c>
      <c r="H2385">
        <v>32</v>
      </c>
      <c r="I2385" s="2">
        <f>INT(DATE($B$3,1,1) + (47+0.5)*365/50)</f>
        <v>0</v>
      </c>
      <c r="J2385" s="2">
        <f>I2385 - INT(ROUND($B$4 * 30.4375, 0) * (32+0.5)/50)</f>
        <v>0</v>
      </c>
      <c r="K2385" s="4">
        <f>VLOOKUP(J2385, '1_Rate_Changes'!$A$2:$C$100, 3, TRUE)</f>
        <v>0</v>
      </c>
    </row>
    <row r="2386" spans="7:11">
      <c r="G2386">
        <v>47</v>
      </c>
      <c r="H2386">
        <v>33</v>
      </c>
      <c r="I2386" s="2">
        <f>INT(DATE($B$3,1,1) + (47+0.5)*365/50)</f>
        <v>0</v>
      </c>
      <c r="J2386" s="2">
        <f>I2386 - INT(ROUND($B$4 * 30.4375, 0) * (33+0.5)/50)</f>
        <v>0</v>
      </c>
      <c r="K2386" s="4">
        <f>VLOOKUP(J2386, '1_Rate_Changes'!$A$2:$C$100, 3, TRUE)</f>
        <v>0</v>
      </c>
    </row>
    <row r="2387" spans="7:11">
      <c r="G2387">
        <v>47</v>
      </c>
      <c r="H2387">
        <v>34</v>
      </c>
      <c r="I2387" s="2">
        <f>INT(DATE($B$3,1,1) + (47+0.5)*365/50)</f>
        <v>0</v>
      </c>
      <c r="J2387" s="2">
        <f>I2387 - INT(ROUND($B$4 * 30.4375, 0) * (34+0.5)/50)</f>
        <v>0</v>
      </c>
      <c r="K2387" s="4">
        <f>VLOOKUP(J2387, '1_Rate_Changes'!$A$2:$C$100, 3, TRUE)</f>
        <v>0</v>
      </c>
    </row>
    <row r="2388" spans="7:11">
      <c r="G2388">
        <v>47</v>
      </c>
      <c r="H2388">
        <v>35</v>
      </c>
      <c r="I2388" s="2">
        <f>INT(DATE($B$3,1,1) + (47+0.5)*365/50)</f>
        <v>0</v>
      </c>
      <c r="J2388" s="2">
        <f>I2388 - INT(ROUND($B$4 * 30.4375, 0) * (35+0.5)/50)</f>
        <v>0</v>
      </c>
      <c r="K2388" s="4">
        <f>VLOOKUP(J2388, '1_Rate_Changes'!$A$2:$C$100, 3, TRUE)</f>
        <v>0</v>
      </c>
    </row>
    <row r="2389" spans="7:11">
      <c r="G2389">
        <v>47</v>
      </c>
      <c r="H2389">
        <v>36</v>
      </c>
      <c r="I2389" s="2">
        <f>INT(DATE($B$3,1,1) + (47+0.5)*365/50)</f>
        <v>0</v>
      </c>
      <c r="J2389" s="2">
        <f>I2389 - INT(ROUND($B$4 * 30.4375, 0) * (36+0.5)/50)</f>
        <v>0</v>
      </c>
      <c r="K2389" s="4">
        <f>VLOOKUP(J2389, '1_Rate_Changes'!$A$2:$C$100, 3, TRUE)</f>
        <v>0</v>
      </c>
    </row>
    <row r="2390" spans="7:11">
      <c r="G2390">
        <v>47</v>
      </c>
      <c r="H2390">
        <v>37</v>
      </c>
      <c r="I2390" s="2">
        <f>INT(DATE($B$3,1,1) + (47+0.5)*365/50)</f>
        <v>0</v>
      </c>
      <c r="J2390" s="2">
        <f>I2390 - INT(ROUND($B$4 * 30.4375, 0) * (37+0.5)/50)</f>
        <v>0</v>
      </c>
      <c r="K2390" s="4">
        <f>VLOOKUP(J2390, '1_Rate_Changes'!$A$2:$C$100, 3, TRUE)</f>
        <v>0</v>
      </c>
    </row>
    <row r="2391" spans="7:11">
      <c r="G2391">
        <v>47</v>
      </c>
      <c r="H2391">
        <v>38</v>
      </c>
      <c r="I2391" s="2">
        <f>INT(DATE($B$3,1,1) + (47+0.5)*365/50)</f>
        <v>0</v>
      </c>
      <c r="J2391" s="2">
        <f>I2391 - INT(ROUND($B$4 * 30.4375, 0) * (38+0.5)/50)</f>
        <v>0</v>
      </c>
      <c r="K2391" s="4">
        <f>VLOOKUP(J2391, '1_Rate_Changes'!$A$2:$C$100, 3, TRUE)</f>
        <v>0</v>
      </c>
    </row>
    <row r="2392" spans="7:11">
      <c r="G2392">
        <v>47</v>
      </c>
      <c r="H2392">
        <v>39</v>
      </c>
      <c r="I2392" s="2">
        <f>INT(DATE($B$3,1,1) + (47+0.5)*365/50)</f>
        <v>0</v>
      </c>
      <c r="J2392" s="2">
        <f>I2392 - INT(ROUND($B$4 * 30.4375, 0) * (39+0.5)/50)</f>
        <v>0</v>
      </c>
      <c r="K2392" s="4">
        <f>VLOOKUP(J2392, '1_Rate_Changes'!$A$2:$C$100, 3, TRUE)</f>
        <v>0</v>
      </c>
    </row>
    <row r="2393" spans="7:11">
      <c r="G2393">
        <v>47</v>
      </c>
      <c r="H2393">
        <v>40</v>
      </c>
      <c r="I2393" s="2">
        <f>INT(DATE($B$3,1,1) + (47+0.5)*365/50)</f>
        <v>0</v>
      </c>
      <c r="J2393" s="2">
        <f>I2393 - INT(ROUND($B$4 * 30.4375, 0) * (40+0.5)/50)</f>
        <v>0</v>
      </c>
      <c r="K2393" s="4">
        <f>VLOOKUP(J2393, '1_Rate_Changes'!$A$2:$C$100, 3, TRUE)</f>
        <v>0</v>
      </c>
    </row>
    <row r="2394" spans="7:11">
      <c r="G2394">
        <v>47</v>
      </c>
      <c r="H2394">
        <v>41</v>
      </c>
      <c r="I2394" s="2">
        <f>INT(DATE($B$3,1,1) + (47+0.5)*365/50)</f>
        <v>0</v>
      </c>
      <c r="J2394" s="2">
        <f>I2394 - INT(ROUND($B$4 * 30.4375, 0) * (41+0.5)/50)</f>
        <v>0</v>
      </c>
      <c r="K2394" s="4">
        <f>VLOOKUP(J2394, '1_Rate_Changes'!$A$2:$C$100, 3, TRUE)</f>
        <v>0</v>
      </c>
    </row>
    <row r="2395" spans="7:11">
      <c r="G2395">
        <v>47</v>
      </c>
      <c r="H2395">
        <v>42</v>
      </c>
      <c r="I2395" s="2">
        <f>INT(DATE($B$3,1,1) + (47+0.5)*365/50)</f>
        <v>0</v>
      </c>
      <c r="J2395" s="2">
        <f>I2395 - INT(ROUND($B$4 * 30.4375, 0) * (42+0.5)/50)</f>
        <v>0</v>
      </c>
      <c r="K2395" s="4">
        <f>VLOOKUP(J2395, '1_Rate_Changes'!$A$2:$C$100, 3, TRUE)</f>
        <v>0</v>
      </c>
    </row>
    <row r="2396" spans="7:11">
      <c r="G2396">
        <v>47</v>
      </c>
      <c r="H2396">
        <v>43</v>
      </c>
      <c r="I2396" s="2">
        <f>INT(DATE($B$3,1,1) + (47+0.5)*365/50)</f>
        <v>0</v>
      </c>
      <c r="J2396" s="2">
        <f>I2396 - INT(ROUND($B$4 * 30.4375, 0) * (43+0.5)/50)</f>
        <v>0</v>
      </c>
      <c r="K2396" s="4">
        <f>VLOOKUP(J2396, '1_Rate_Changes'!$A$2:$C$100, 3, TRUE)</f>
        <v>0</v>
      </c>
    </row>
    <row r="2397" spans="7:11">
      <c r="G2397">
        <v>47</v>
      </c>
      <c r="H2397">
        <v>44</v>
      </c>
      <c r="I2397" s="2">
        <f>INT(DATE($B$3,1,1) + (47+0.5)*365/50)</f>
        <v>0</v>
      </c>
      <c r="J2397" s="2">
        <f>I2397 - INT(ROUND($B$4 * 30.4375, 0) * (44+0.5)/50)</f>
        <v>0</v>
      </c>
      <c r="K2397" s="4">
        <f>VLOOKUP(J2397, '1_Rate_Changes'!$A$2:$C$100, 3, TRUE)</f>
        <v>0</v>
      </c>
    </row>
    <row r="2398" spans="7:11">
      <c r="G2398">
        <v>47</v>
      </c>
      <c r="H2398">
        <v>45</v>
      </c>
      <c r="I2398" s="2">
        <f>INT(DATE($B$3,1,1) + (47+0.5)*365/50)</f>
        <v>0</v>
      </c>
      <c r="J2398" s="2">
        <f>I2398 - INT(ROUND($B$4 * 30.4375, 0) * (45+0.5)/50)</f>
        <v>0</v>
      </c>
      <c r="K2398" s="4">
        <f>VLOOKUP(J2398, '1_Rate_Changes'!$A$2:$C$100, 3, TRUE)</f>
        <v>0</v>
      </c>
    </row>
    <row r="2399" spans="7:11">
      <c r="G2399">
        <v>47</v>
      </c>
      <c r="H2399">
        <v>46</v>
      </c>
      <c r="I2399" s="2">
        <f>INT(DATE($B$3,1,1) + (47+0.5)*365/50)</f>
        <v>0</v>
      </c>
      <c r="J2399" s="2">
        <f>I2399 - INT(ROUND($B$4 * 30.4375, 0) * (46+0.5)/50)</f>
        <v>0</v>
      </c>
      <c r="K2399" s="4">
        <f>VLOOKUP(J2399, '1_Rate_Changes'!$A$2:$C$100, 3, TRUE)</f>
        <v>0</v>
      </c>
    </row>
    <row r="2400" spans="7:11">
      <c r="G2400">
        <v>47</v>
      </c>
      <c r="H2400">
        <v>47</v>
      </c>
      <c r="I2400" s="2">
        <f>INT(DATE($B$3,1,1) + (47+0.5)*365/50)</f>
        <v>0</v>
      </c>
      <c r="J2400" s="2">
        <f>I2400 - INT(ROUND($B$4 * 30.4375, 0) * (47+0.5)/50)</f>
        <v>0</v>
      </c>
      <c r="K2400" s="4">
        <f>VLOOKUP(J2400, '1_Rate_Changes'!$A$2:$C$100, 3, TRUE)</f>
        <v>0</v>
      </c>
    </row>
    <row r="2401" spans="7:11">
      <c r="G2401">
        <v>47</v>
      </c>
      <c r="H2401">
        <v>48</v>
      </c>
      <c r="I2401" s="2">
        <f>INT(DATE($B$3,1,1) + (47+0.5)*365/50)</f>
        <v>0</v>
      </c>
      <c r="J2401" s="2">
        <f>I2401 - INT(ROUND($B$4 * 30.4375, 0) * (48+0.5)/50)</f>
        <v>0</v>
      </c>
      <c r="K2401" s="4">
        <f>VLOOKUP(J2401, '1_Rate_Changes'!$A$2:$C$100, 3, TRUE)</f>
        <v>0</v>
      </c>
    </row>
    <row r="2402" spans="7:11">
      <c r="G2402">
        <v>47</v>
      </c>
      <c r="H2402">
        <v>49</v>
      </c>
      <c r="I2402" s="2">
        <f>INT(DATE($B$3,1,1) + (47+0.5)*365/50)</f>
        <v>0</v>
      </c>
      <c r="J2402" s="2">
        <f>I2402 - INT(ROUND($B$4 * 30.4375, 0) * (49+0.5)/50)</f>
        <v>0</v>
      </c>
      <c r="K2402" s="4">
        <f>VLOOKUP(J2402, '1_Rate_Changes'!$A$2:$C$100, 3, TRUE)</f>
        <v>0</v>
      </c>
    </row>
    <row r="2403" spans="7:11">
      <c r="G2403">
        <v>48</v>
      </c>
      <c r="H2403">
        <v>0</v>
      </c>
      <c r="I2403" s="2">
        <f>INT(DATE($B$3,1,1) + (48+0.5)*365/50)</f>
        <v>0</v>
      </c>
      <c r="J2403" s="2">
        <f>I2403 - INT(ROUND($B$4 * 30.4375, 0) * (0+0.5)/50)</f>
        <v>0</v>
      </c>
      <c r="K2403" s="4">
        <f>VLOOKUP(J2403, '1_Rate_Changes'!$A$2:$C$100, 3, TRUE)</f>
        <v>0</v>
      </c>
    </row>
    <row r="2404" spans="7:11">
      <c r="G2404">
        <v>48</v>
      </c>
      <c r="H2404">
        <v>1</v>
      </c>
      <c r="I2404" s="2">
        <f>INT(DATE($B$3,1,1) + (48+0.5)*365/50)</f>
        <v>0</v>
      </c>
      <c r="J2404" s="2">
        <f>I2404 - INT(ROUND($B$4 * 30.4375, 0) * (1+0.5)/50)</f>
        <v>0</v>
      </c>
      <c r="K2404" s="4">
        <f>VLOOKUP(J2404, '1_Rate_Changes'!$A$2:$C$100, 3, TRUE)</f>
        <v>0</v>
      </c>
    </row>
    <row r="2405" spans="7:11">
      <c r="G2405">
        <v>48</v>
      </c>
      <c r="H2405">
        <v>2</v>
      </c>
      <c r="I2405" s="2">
        <f>INT(DATE($B$3,1,1) + (48+0.5)*365/50)</f>
        <v>0</v>
      </c>
      <c r="J2405" s="2">
        <f>I2405 - INT(ROUND($B$4 * 30.4375, 0) * (2+0.5)/50)</f>
        <v>0</v>
      </c>
      <c r="K2405" s="4">
        <f>VLOOKUP(J2405, '1_Rate_Changes'!$A$2:$C$100, 3, TRUE)</f>
        <v>0</v>
      </c>
    </row>
    <row r="2406" spans="7:11">
      <c r="G2406">
        <v>48</v>
      </c>
      <c r="H2406">
        <v>3</v>
      </c>
      <c r="I2406" s="2">
        <f>INT(DATE($B$3,1,1) + (48+0.5)*365/50)</f>
        <v>0</v>
      </c>
      <c r="J2406" s="2">
        <f>I2406 - INT(ROUND($B$4 * 30.4375, 0) * (3+0.5)/50)</f>
        <v>0</v>
      </c>
      <c r="K2406" s="4">
        <f>VLOOKUP(J2406, '1_Rate_Changes'!$A$2:$C$100, 3, TRUE)</f>
        <v>0</v>
      </c>
    </row>
    <row r="2407" spans="7:11">
      <c r="G2407">
        <v>48</v>
      </c>
      <c r="H2407">
        <v>4</v>
      </c>
      <c r="I2407" s="2">
        <f>INT(DATE($B$3,1,1) + (48+0.5)*365/50)</f>
        <v>0</v>
      </c>
      <c r="J2407" s="2">
        <f>I2407 - INT(ROUND($B$4 * 30.4375, 0) * (4+0.5)/50)</f>
        <v>0</v>
      </c>
      <c r="K2407" s="4">
        <f>VLOOKUP(J2407, '1_Rate_Changes'!$A$2:$C$100, 3, TRUE)</f>
        <v>0</v>
      </c>
    </row>
    <row r="2408" spans="7:11">
      <c r="G2408">
        <v>48</v>
      </c>
      <c r="H2408">
        <v>5</v>
      </c>
      <c r="I2408" s="2">
        <f>INT(DATE($B$3,1,1) + (48+0.5)*365/50)</f>
        <v>0</v>
      </c>
      <c r="J2408" s="2">
        <f>I2408 - INT(ROUND($B$4 * 30.4375, 0) * (5+0.5)/50)</f>
        <v>0</v>
      </c>
      <c r="K2408" s="4">
        <f>VLOOKUP(J2408, '1_Rate_Changes'!$A$2:$C$100, 3, TRUE)</f>
        <v>0</v>
      </c>
    </row>
    <row r="2409" spans="7:11">
      <c r="G2409">
        <v>48</v>
      </c>
      <c r="H2409">
        <v>6</v>
      </c>
      <c r="I2409" s="2">
        <f>INT(DATE($B$3,1,1) + (48+0.5)*365/50)</f>
        <v>0</v>
      </c>
      <c r="J2409" s="2">
        <f>I2409 - INT(ROUND($B$4 * 30.4375, 0) * (6+0.5)/50)</f>
        <v>0</v>
      </c>
      <c r="K2409" s="4">
        <f>VLOOKUP(J2409, '1_Rate_Changes'!$A$2:$C$100, 3, TRUE)</f>
        <v>0</v>
      </c>
    </row>
    <row r="2410" spans="7:11">
      <c r="G2410">
        <v>48</v>
      </c>
      <c r="H2410">
        <v>7</v>
      </c>
      <c r="I2410" s="2">
        <f>INT(DATE($B$3,1,1) + (48+0.5)*365/50)</f>
        <v>0</v>
      </c>
      <c r="J2410" s="2">
        <f>I2410 - INT(ROUND($B$4 * 30.4375, 0) * (7+0.5)/50)</f>
        <v>0</v>
      </c>
      <c r="K2410" s="4">
        <f>VLOOKUP(J2410, '1_Rate_Changes'!$A$2:$C$100, 3, TRUE)</f>
        <v>0</v>
      </c>
    </row>
    <row r="2411" spans="7:11">
      <c r="G2411">
        <v>48</v>
      </c>
      <c r="H2411">
        <v>8</v>
      </c>
      <c r="I2411" s="2">
        <f>INT(DATE($B$3,1,1) + (48+0.5)*365/50)</f>
        <v>0</v>
      </c>
      <c r="J2411" s="2">
        <f>I2411 - INT(ROUND($B$4 * 30.4375, 0) * (8+0.5)/50)</f>
        <v>0</v>
      </c>
      <c r="K2411" s="4">
        <f>VLOOKUP(J2411, '1_Rate_Changes'!$A$2:$C$100, 3, TRUE)</f>
        <v>0</v>
      </c>
    </row>
    <row r="2412" spans="7:11">
      <c r="G2412">
        <v>48</v>
      </c>
      <c r="H2412">
        <v>9</v>
      </c>
      <c r="I2412" s="2">
        <f>INT(DATE($B$3,1,1) + (48+0.5)*365/50)</f>
        <v>0</v>
      </c>
      <c r="J2412" s="2">
        <f>I2412 - INT(ROUND($B$4 * 30.4375, 0) * (9+0.5)/50)</f>
        <v>0</v>
      </c>
      <c r="K2412" s="4">
        <f>VLOOKUP(J2412, '1_Rate_Changes'!$A$2:$C$100, 3, TRUE)</f>
        <v>0</v>
      </c>
    </row>
    <row r="2413" spans="7:11">
      <c r="G2413">
        <v>48</v>
      </c>
      <c r="H2413">
        <v>10</v>
      </c>
      <c r="I2413" s="2">
        <f>INT(DATE($B$3,1,1) + (48+0.5)*365/50)</f>
        <v>0</v>
      </c>
      <c r="J2413" s="2">
        <f>I2413 - INT(ROUND($B$4 * 30.4375, 0) * (10+0.5)/50)</f>
        <v>0</v>
      </c>
      <c r="K2413" s="4">
        <f>VLOOKUP(J2413, '1_Rate_Changes'!$A$2:$C$100, 3, TRUE)</f>
        <v>0</v>
      </c>
    </row>
    <row r="2414" spans="7:11">
      <c r="G2414">
        <v>48</v>
      </c>
      <c r="H2414">
        <v>11</v>
      </c>
      <c r="I2414" s="2">
        <f>INT(DATE($B$3,1,1) + (48+0.5)*365/50)</f>
        <v>0</v>
      </c>
      <c r="J2414" s="2">
        <f>I2414 - INT(ROUND($B$4 * 30.4375, 0) * (11+0.5)/50)</f>
        <v>0</v>
      </c>
      <c r="K2414" s="4">
        <f>VLOOKUP(J2414, '1_Rate_Changes'!$A$2:$C$100, 3, TRUE)</f>
        <v>0</v>
      </c>
    </row>
    <row r="2415" spans="7:11">
      <c r="G2415">
        <v>48</v>
      </c>
      <c r="H2415">
        <v>12</v>
      </c>
      <c r="I2415" s="2">
        <f>INT(DATE($B$3,1,1) + (48+0.5)*365/50)</f>
        <v>0</v>
      </c>
      <c r="J2415" s="2">
        <f>I2415 - INT(ROUND($B$4 * 30.4375, 0) * (12+0.5)/50)</f>
        <v>0</v>
      </c>
      <c r="K2415" s="4">
        <f>VLOOKUP(J2415, '1_Rate_Changes'!$A$2:$C$100, 3, TRUE)</f>
        <v>0</v>
      </c>
    </row>
    <row r="2416" spans="7:11">
      <c r="G2416">
        <v>48</v>
      </c>
      <c r="H2416">
        <v>13</v>
      </c>
      <c r="I2416" s="2">
        <f>INT(DATE($B$3,1,1) + (48+0.5)*365/50)</f>
        <v>0</v>
      </c>
      <c r="J2416" s="2">
        <f>I2416 - INT(ROUND($B$4 * 30.4375, 0) * (13+0.5)/50)</f>
        <v>0</v>
      </c>
      <c r="K2416" s="4">
        <f>VLOOKUP(J2416, '1_Rate_Changes'!$A$2:$C$100, 3, TRUE)</f>
        <v>0</v>
      </c>
    </row>
    <row r="2417" spans="7:11">
      <c r="G2417">
        <v>48</v>
      </c>
      <c r="H2417">
        <v>14</v>
      </c>
      <c r="I2417" s="2">
        <f>INT(DATE($B$3,1,1) + (48+0.5)*365/50)</f>
        <v>0</v>
      </c>
      <c r="J2417" s="2">
        <f>I2417 - INT(ROUND($B$4 * 30.4375, 0) * (14+0.5)/50)</f>
        <v>0</v>
      </c>
      <c r="K2417" s="4">
        <f>VLOOKUP(J2417, '1_Rate_Changes'!$A$2:$C$100, 3, TRUE)</f>
        <v>0</v>
      </c>
    </row>
    <row r="2418" spans="7:11">
      <c r="G2418">
        <v>48</v>
      </c>
      <c r="H2418">
        <v>15</v>
      </c>
      <c r="I2418" s="2">
        <f>INT(DATE($B$3,1,1) + (48+0.5)*365/50)</f>
        <v>0</v>
      </c>
      <c r="J2418" s="2">
        <f>I2418 - INT(ROUND($B$4 * 30.4375, 0) * (15+0.5)/50)</f>
        <v>0</v>
      </c>
      <c r="K2418" s="4">
        <f>VLOOKUP(J2418, '1_Rate_Changes'!$A$2:$C$100, 3, TRUE)</f>
        <v>0</v>
      </c>
    </row>
    <row r="2419" spans="7:11">
      <c r="G2419">
        <v>48</v>
      </c>
      <c r="H2419">
        <v>16</v>
      </c>
      <c r="I2419" s="2">
        <f>INT(DATE($B$3,1,1) + (48+0.5)*365/50)</f>
        <v>0</v>
      </c>
      <c r="J2419" s="2">
        <f>I2419 - INT(ROUND($B$4 * 30.4375, 0) * (16+0.5)/50)</f>
        <v>0</v>
      </c>
      <c r="K2419" s="4">
        <f>VLOOKUP(J2419, '1_Rate_Changes'!$A$2:$C$100, 3, TRUE)</f>
        <v>0</v>
      </c>
    </row>
    <row r="2420" spans="7:11">
      <c r="G2420">
        <v>48</v>
      </c>
      <c r="H2420">
        <v>17</v>
      </c>
      <c r="I2420" s="2">
        <f>INT(DATE($B$3,1,1) + (48+0.5)*365/50)</f>
        <v>0</v>
      </c>
      <c r="J2420" s="2">
        <f>I2420 - INT(ROUND($B$4 * 30.4375, 0) * (17+0.5)/50)</f>
        <v>0</v>
      </c>
      <c r="K2420" s="4">
        <f>VLOOKUP(J2420, '1_Rate_Changes'!$A$2:$C$100, 3, TRUE)</f>
        <v>0</v>
      </c>
    </row>
    <row r="2421" spans="7:11">
      <c r="G2421">
        <v>48</v>
      </c>
      <c r="H2421">
        <v>18</v>
      </c>
      <c r="I2421" s="2">
        <f>INT(DATE($B$3,1,1) + (48+0.5)*365/50)</f>
        <v>0</v>
      </c>
      <c r="J2421" s="2">
        <f>I2421 - INT(ROUND($B$4 * 30.4375, 0) * (18+0.5)/50)</f>
        <v>0</v>
      </c>
      <c r="K2421" s="4">
        <f>VLOOKUP(J2421, '1_Rate_Changes'!$A$2:$C$100, 3, TRUE)</f>
        <v>0</v>
      </c>
    </row>
    <row r="2422" spans="7:11">
      <c r="G2422">
        <v>48</v>
      </c>
      <c r="H2422">
        <v>19</v>
      </c>
      <c r="I2422" s="2">
        <f>INT(DATE($B$3,1,1) + (48+0.5)*365/50)</f>
        <v>0</v>
      </c>
      <c r="J2422" s="2">
        <f>I2422 - INT(ROUND($B$4 * 30.4375, 0) * (19+0.5)/50)</f>
        <v>0</v>
      </c>
      <c r="K2422" s="4">
        <f>VLOOKUP(J2422, '1_Rate_Changes'!$A$2:$C$100, 3, TRUE)</f>
        <v>0</v>
      </c>
    </row>
    <row r="2423" spans="7:11">
      <c r="G2423">
        <v>48</v>
      </c>
      <c r="H2423">
        <v>20</v>
      </c>
      <c r="I2423" s="2">
        <f>INT(DATE($B$3,1,1) + (48+0.5)*365/50)</f>
        <v>0</v>
      </c>
      <c r="J2423" s="2">
        <f>I2423 - INT(ROUND($B$4 * 30.4375, 0) * (20+0.5)/50)</f>
        <v>0</v>
      </c>
      <c r="K2423" s="4">
        <f>VLOOKUP(J2423, '1_Rate_Changes'!$A$2:$C$100, 3, TRUE)</f>
        <v>0</v>
      </c>
    </row>
    <row r="2424" spans="7:11">
      <c r="G2424">
        <v>48</v>
      </c>
      <c r="H2424">
        <v>21</v>
      </c>
      <c r="I2424" s="2">
        <f>INT(DATE($B$3,1,1) + (48+0.5)*365/50)</f>
        <v>0</v>
      </c>
      <c r="J2424" s="2">
        <f>I2424 - INT(ROUND($B$4 * 30.4375, 0) * (21+0.5)/50)</f>
        <v>0</v>
      </c>
      <c r="K2424" s="4">
        <f>VLOOKUP(J2424, '1_Rate_Changes'!$A$2:$C$100, 3, TRUE)</f>
        <v>0</v>
      </c>
    </row>
    <row r="2425" spans="7:11">
      <c r="G2425">
        <v>48</v>
      </c>
      <c r="H2425">
        <v>22</v>
      </c>
      <c r="I2425" s="2">
        <f>INT(DATE($B$3,1,1) + (48+0.5)*365/50)</f>
        <v>0</v>
      </c>
      <c r="J2425" s="2">
        <f>I2425 - INT(ROUND($B$4 * 30.4375, 0) * (22+0.5)/50)</f>
        <v>0</v>
      </c>
      <c r="K2425" s="4">
        <f>VLOOKUP(J2425, '1_Rate_Changes'!$A$2:$C$100, 3, TRUE)</f>
        <v>0</v>
      </c>
    </row>
    <row r="2426" spans="7:11">
      <c r="G2426">
        <v>48</v>
      </c>
      <c r="H2426">
        <v>23</v>
      </c>
      <c r="I2426" s="2">
        <f>INT(DATE($B$3,1,1) + (48+0.5)*365/50)</f>
        <v>0</v>
      </c>
      <c r="J2426" s="2">
        <f>I2426 - INT(ROUND($B$4 * 30.4375, 0) * (23+0.5)/50)</f>
        <v>0</v>
      </c>
      <c r="K2426" s="4">
        <f>VLOOKUP(J2426, '1_Rate_Changes'!$A$2:$C$100, 3, TRUE)</f>
        <v>0</v>
      </c>
    </row>
    <row r="2427" spans="7:11">
      <c r="G2427">
        <v>48</v>
      </c>
      <c r="H2427">
        <v>24</v>
      </c>
      <c r="I2427" s="2">
        <f>INT(DATE($B$3,1,1) + (48+0.5)*365/50)</f>
        <v>0</v>
      </c>
      <c r="J2427" s="2">
        <f>I2427 - INT(ROUND($B$4 * 30.4375, 0) * (24+0.5)/50)</f>
        <v>0</v>
      </c>
      <c r="K2427" s="4">
        <f>VLOOKUP(J2427, '1_Rate_Changes'!$A$2:$C$100, 3, TRUE)</f>
        <v>0</v>
      </c>
    </row>
    <row r="2428" spans="7:11">
      <c r="G2428">
        <v>48</v>
      </c>
      <c r="H2428">
        <v>25</v>
      </c>
      <c r="I2428" s="2">
        <f>INT(DATE($B$3,1,1) + (48+0.5)*365/50)</f>
        <v>0</v>
      </c>
      <c r="J2428" s="2">
        <f>I2428 - INT(ROUND($B$4 * 30.4375, 0) * (25+0.5)/50)</f>
        <v>0</v>
      </c>
      <c r="K2428" s="4">
        <f>VLOOKUP(J2428, '1_Rate_Changes'!$A$2:$C$100, 3, TRUE)</f>
        <v>0</v>
      </c>
    </row>
    <row r="2429" spans="7:11">
      <c r="G2429">
        <v>48</v>
      </c>
      <c r="H2429">
        <v>26</v>
      </c>
      <c r="I2429" s="2">
        <f>INT(DATE($B$3,1,1) + (48+0.5)*365/50)</f>
        <v>0</v>
      </c>
      <c r="J2429" s="2">
        <f>I2429 - INT(ROUND($B$4 * 30.4375, 0) * (26+0.5)/50)</f>
        <v>0</v>
      </c>
      <c r="K2429" s="4">
        <f>VLOOKUP(J2429, '1_Rate_Changes'!$A$2:$C$100, 3, TRUE)</f>
        <v>0</v>
      </c>
    </row>
    <row r="2430" spans="7:11">
      <c r="G2430">
        <v>48</v>
      </c>
      <c r="H2430">
        <v>27</v>
      </c>
      <c r="I2430" s="2">
        <f>INT(DATE($B$3,1,1) + (48+0.5)*365/50)</f>
        <v>0</v>
      </c>
      <c r="J2430" s="2">
        <f>I2430 - INT(ROUND($B$4 * 30.4375, 0) * (27+0.5)/50)</f>
        <v>0</v>
      </c>
      <c r="K2430" s="4">
        <f>VLOOKUP(J2430, '1_Rate_Changes'!$A$2:$C$100, 3, TRUE)</f>
        <v>0</v>
      </c>
    </row>
    <row r="2431" spans="7:11">
      <c r="G2431">
        <v>48</v>
      </c>
      <c r="H2431">
        <v>28</v>
      </c>
      <c r="I2431" s="2">
        <f>INT(DATE($B$3,1,1) + (48+0.5)*365/50)</f>
        <v>0</v>
      </c>
      <c r="J2431" s="2">
        <f>I2431 - INT(ROUND($B$4 * 30.4375, 0) * (28+0.5)/50)</f>
        <v>0</v>
      </c>
      <c r="K2431" s="4">
        <f>VLOOKUP(J2431, '1_Rate_Changes'!$A$2:$C$100, 3, TRUE)</f>
        <v>0</v>
      </c>
    </row>
    <row r="2432" spans="7:11">
      <c r="G2432">
        <v>48</v>
      </c>
      <c r="H2432">
        <v>29</v>
      </c>
      <c r="I2432" s="2">
        <f>INT(DATE($B$3,1,1) + (48+0.5)*365/50)</f>
        <v>0</v>
      </c>
      <c r="J2432" s="2">
        <f>I2432 - INT(ROUND($B$4 * 30.4375, 0) * (29+0.5)/50)</f>
        <v>0</v>
      </c>
      <c r="K2432" s="4">
        <f>VLOOKUP(J2432, '1_Rate_Changes'!$A$2:$C$100, 3, TRUE)</f>
        <v>0</v>
      </c>
    </row>
    <row r="2433" spans="7:11">
      <c r="G2433">
        <v>48</v>
      </c>
      <c r="H2433">
        <v>30</v>
      </c>
      <c r="I2433" s="2">
        <f>INT(DATE($B$3,1,1) + (48+0.5)*365/50)</f>
        <v>0</v>
      </c>
      <c r="J2433" s="2">
        <f>I2433 - INT(ROUND($B$4 * 30.4375, 0) * (30+0.5)/50)</f>
        <v>0</v>
      </c>
      <c r="K2433" s="4">
        <f>VLOOKUP(J2433, '1_Rate_Changes'!$A$2:$C$100, 3, TRUE)</f>
        <v>0</v>
      </c>
    </row>
    <row r="2434" spans="7:11">
      <c r="G2434">
        <v>48</v>
      </c>
      <c r="H2434">
        <v>31</v>
      </c>
      <c r="I2434" s="2">
        <f>INT(DATE($B$3,1,1) + (48+0.5)*365/50)</f>
        <v>0</v>
      </c>
      <c r="J2434" s="2">
        <f>I2434 - INT(ROUND($B$4 * 30.4375, 0) * (31+0.5)/50)</f>
        <v>0</v>
      </c>
      <c r="K2434" s="4">
        <f>VLOOKUP(J2434, '1_Rate_Changes'!$A$2:$C$100, 3, TRUE)</f>
        <v>0</v>
      </c>
    </row>
    <row r="2435" spans="7:11">
      <c r="G2435">
        <v>48</v>
      </c>
      <c r="H2435">
        <v>32</v>
      </c>
      <c r="I2435" s="2">
        <f>INT(DATE($B$3,1,1) + (48+0.5)*365/50)</f>
        <v>0</v>
      </c>
      <c r="J2435" s="2">
        <f>I2435 - INT(ROUND($B$4 * 30.4375, 0) * (32+0.5)/50)</f>
        <v>0</v>
      </c>
      <c r="K2435" s="4">
        <f>VLOOKUP(J2435, '1_Rate_Changes'!$A$2:$C$100, 3, TRUE)</f>
        <v>0</v>
      </c>
    </row>
    <row r="2436" spans="7:11">
      <c r="G2436">
        <v>48</v>
      </c>
      <c r="H2436">
        <v>33</v>
      </c>
      <c r="I2436" s="2">
        <f>INT(DATE($B$3,1,1) + (48+0.5)*365/50)</f>
        <v>0</v>
      </c>
      <c r="J2436" s="2">
        <f>I2436 - INT(ROUND($B$4 * 30.4375, 0) * (33+0.5)/50)</f>
        <v>0</v>
      </c>
      <c r="K2436" s="4">
        <f>VLOOKUP(J2436, '1_Rate_Changes'!$A$2:$C$100, 3, TRUE)</f>
        <v>0</v>
      </c>
    </row>
    <row r="2437" spans="7:11">
      <c r="G2437">
        <v>48</v>
      </c>
      <c r="H2437">
        <v>34</v>
      </c>
      <c r="I2437" s="2">
        <f>INT(DATE($B$3,1,1) + (48+0.5)*365/50)</f>
        <v>0</v>
      </c>
      <c r="J2437" s="2">
        <f>I2437 - INT(ROUND($B$4 * 30.4375, 0) * (34+0.5)/50)</f>
        <v>0</v>
      </c>
      <c r="K2437" s="4">
        <f>VLOOKUP(J2437, '1_Rate_Changes'!$A$2:$C$100, 3, TRUE)</f>
        <v>0</v>
      </c>
    </row>
    <row r="2438" spans="7:11">
      <c r="G2438">
        <v>48</v>
      </c>
      <c r="H2438">
        <v>35</v>
      </c>
      <c r="I2438" s="2">
        <f>INT(DATE($B$3,1,1) + (48+0.5)*365/50)</f>
        <v>0</v>
      </c>
      <c r="J2438" s="2">
        <f>I2438 - INT(ROUND($B$4 * 30.4375, 0) * (35+0.5)/50)</f>
        <v>0</v>
      </c>
      <c r="K2438" s="4">
        <f>VLOOKUP(J2438, '1_Rate_Changes'!$A$2:$C$100, 3, TRUE)</f>
        <v>0</v>
      </c>
    </row>
    <row r="2439" spans="7:11">
      <c r="G2439">
        <v>48</v>
      </c>
      <c r="H2439">
        <v>36</v>
      </c>
      <c r="I2439" s="2">
        <f>INT(DATE($B$3,1,1) + (48+0.5)*365/50)</f>
        <v>0</v>
      </c>
      <c r="J2439" s="2">
        <f>I2439 - INT(ROUND($B$4 * 30.4375, 0) * (36+0.5)/50)</f>
        <v>0</v>
      </c>
      <c r="K2439" s="4">
        <f>VLOOKUP(J2439, '1_Rate_Changes'!$A$2:$C$100, 3, TRUE)</f>
        <v>0</v>
      </c>
    </row>
    <row r="2440" spans="7:11">
      <c r="G2440">
        <v>48</v>
      </c>
      <c r="H2440">
        <v>37</v>
      </c>
      <c r="I2440" s="2">
        <f>INT(DATE($B$3,1,1) + (48+0.5)*365/50)</f>
        <v>0</v>
      </c>
      <c r="J2440" s="2">
        <f>I2440 - INT(ROUND($B$4 * 30.4375, 0) * (37+0.5)/50)</f>
        <v>0</v>
      </c>
      <c r="K2440" s="4">
        <f>VLOOKUP(J2440, '1_Rate_Changes'!$A$2:$C$100, 3, TRUE)</f>
        <v>0</v>
      </c>
    </row>
    <row r="2441" spans="7:11">
      <c r="G2441">
        <v>48</v>
      </c>
      <c r="H2441">
        <v>38</v>
      </c>
      <c r="I2441" s="2">
        <f>INT(DATE($B$3,1,1) + (48+0.5)*365/50)</f>
        <v>0</v>
      </c>
      <c r="J2441" s="2">
        <f>I2441 - INT(ROUND($B$4 * 30.4375, 0) * (38+0.5)/50)</f>
        <v>0</v>
      </c>
      <c r="K2441" s="4">
        <f>VLOOKUP(J2441, '1_Rate_Changes'!$A$2:$C$100, 3, TRUE)</f>
        <v>0</v>
      </c>
    </row>
    <row r="2442" spans="7:11">
      <c r="G2442">
        <v>48</v>
      </c>
      <c r="H2442">
        <v>39</v>
      </c>
      <c r="I2442" s="2">
        <f>INT(DATE($B$3,1,1) + (48+0.5)*365/50)</f>
        <v>0</v>
      </c>
      <c r="J2442" s="2">
        <f>I2442 - INT(ROUND($B$4 * 30.4375, 0) * (39+0.5)/50)</f>
        <v>0</v>
      </c>
      <c r="K2442" s="4">
        <f>VLOOKUP(J2442, '1_Rate_Changes'!$A$2:$C$100, 3, TRUE)</f>
        <v>0</v>
      </c>
    </row>
    <row r="2443" spans="7:11">
      <c r="G2443">
        <v>48</v>
      </c>
      <c r="H2443">
        <v>40</v>
      </c>
      <c r="I2443" s="2">
        <f>INT(DATE($B$3,1,1) + (48+0.5)*365/50)</f>
        <v>0</v>
      </c>
      <c r="J2443" s="2">
        <f>I2443 - INT(ROUND($B$4 * 30.4375, 0) * (40+0.5)/50)</f>
        <v>0</v>
      </c>
      <c r="K2443" s="4">
        <f>VLOOKUP(J2443, '1_Rate_Changes'!$A$2:$C$100, 3, TRUE)</f>
        <v>0</v>
      </c>
    </row>
    <row r="2444" spans="7:11">
      <c r="G2444">
        <v>48</v>
      </c>
      <c r="H2444">
        <v>41</v>
      </c>
      <c r="I2444" s="2">
        <f>INT(DATE($B$3,1,1) + (48+0.5)*365/50)</f>
        <v>0</v>
      </c>
      <c r="J2444" s="2">
        <f>I2444 - INT(ROUND($B$4 * 30.4375, 0) * (41+0.5)/50)</f>
        <v>0</v>
      </c>
      <c r="K2444" s="4">
        <f>VLOOKUP(J2444, '1_Rate_Changes'!$A$2:$C$100, 3, TRUE)</f>
        <v>0</v>
      </c>
    </row>
    <row r="2445" spans="7:11">
      <c r="G2445">
        <v>48</v>
      </c>
      <c r="H2445">
        <v>42</v>
      </c>
      <c r="I2445" s="2">
        <f>INT(DATE($B$3,1,1) + (48+0.5)*365/50)</f>
        <v>0</v>
      </c>
      <c r="J2445" s="2">
        <f>I2445 - INT(ROUND($B$4 * 30.4375, 0) * (42+0.5)/50)</f>
        <v>0</v>
      </c>
      <c r="K2445" s="4">
        <f>VLOOKUP(J2445, '1_Rate_Changes'!$A$2:$C$100, 3, TRUE)</f>
        <v>0</v>
      </c>
    </row>
    <row r="2446" spans="7:11">
      <c r="G2446">
        <v>48</v>
      </c>
      <c r="H2446">
        <v>43</v>
      </c>
      <c r="I2446" s="2">
        <f>INT(DATE($B$3,1,1) + (48+0.5)*365/50)</f>
        <v>0</v>
      </c>
      <c r="J2446" s="2">
        <f>I2446 - INT(ROUND($B$4 * 30.4375, 0) * (43+0.5)/50)</f>
        <v>0</v>
      </c>
      <c r="K2446" s="4">
        <f>VLOOKUP(J2446, '1_Rate_Changes'!$A$2:$C$100, 3, TRUE)</f>
        <v>0</v>
      </c>
    </row>
    <row r="2447" spans="7:11">
      <c r="G2447">
        <v>48</v>
      </c>
      <c r="H2447">
        <v>44</v>
      </c>
      <c r="I2447" s="2">
        <f>INT(DATE($B$3,1,1) + (48+0.5)*365/50)</f>
        <v>0</v>
      </c>
      <c r="J2447" s="2">
        <f>I2447 - INT(ROUND($B$4 * 30.4375, 0) * (44+0.5)/50)</f>
        <v>0</v>
      </c>
      <c r="K2447" s="4">
        <f>VLOOKUP(J2447, '1_Rate_Changes'!$A$2:$C$100, 3, TRUE)</f>
        <v>0</v>
      </c>
    </row>
    <row r="2448" spans="7:11">
      <c r="G2448">
        <v>48</v>
      </c>
      <c r="H2448">
        <v>45</v>
      </c>
      <c r="I2448" s="2">
        <f>INT(DATE($B$3,1,1) + (48+0.5)*365/50)</f>
        <v>0</v>
      </c>
      <c r="J2448" s="2">
        <f>I2448 - INT(ROUND($B$4 * 30.4375, 0) * (45+0.5)/50)</f>
        <v>0</v>
      </c>
      <c r="K2448" s="4">
        <f>VLOOKUP(J2448, '1_Rate_Changes'!$A$2:$C$100, 3, TRUE)</f>
        <v>0</v>
      </c>
    </row>
    <row r="2449" spans="7:11">
      <c r="G2449">
        <v>48</v>
      </c>
      <c r="H2449">
        <v>46</v>
      </c>
      <c r="I2449" s="2">
        <f>INT(DATE($B$3,1,1) + (48+0.5)*365/50)</f>
        <v>0</v>
      </c>
      <c r="J2449" s="2">
        <f>I2449 - INT(ROUND($B$4 * 30.4375, 0) * (46+0.5)/50)</f>
        <v>0</v>
      </c>
      <c r="K2449" s="4">
        <f>VLOOKUP(J2449, '1_Rate_Changes'!$A$2:$C$100, 3, TRUE)</f>
        <v>0</v>
      </c>
    </row>
    <row r="2450" spans="7:11">
      <c r="G2450">
        <v>48</v>
      </c>
      <c r="H2450">
        <v>47</v>
      </c>
      <c r="I2450" s="2">
        <f>INT(DATE($B$3,1,1) + (48+0.5)*365/50)</f>
        <v>0</v>
      </c>
      <c r="J2450" s="2">
        <f>I2450 - INT(ROUND($B$4 * 30.4375, 0) * (47+0.5)/50)</f>
        <v>0</v>
      </c>
      <c r="K2450" s="4">
        <f>VLOOKUP(J2450, '1_Rate_Changes'!$A$2:$C$100, 3, TRUE)</f>
        <v>0</v>
      </c>
    </row>
    <row r="2451" spans="7:11">
      <c r="G2451">
        <v>48</v>
      </c>
      <c r="H2451">
        <v>48</v>
      </c>
      <c r="I2451" s="2">
        <f>INT(DATE($B$3,1,1) + (48+0.5)*365/50)</f>
        <v>0</v>
      </c>
      <c r="J2451" s="2">
        <f>I2451 - INT(ROUND($B$4 * 30.4375, 0) * (48+0.5)/50)</f>
        <v>0</v>
      </c>
      <c r="K2451" s="4">
        <f>VLOOKUP(J2451, '1_Rate_Changes'!$A$2:$C$100, 3, TRUE)</f>
        <v>0</v>
      </c>
    </row>
    <row r="2452" spans="7:11">
      <c r="G2452">
        <v>48</v>
      </c>
      <c r="H2452">
        <v>49</v>
      </c>
      <c r="I2452" s="2">
        <f>INT(DATE($B$3,1,1) + (48+0.5)*365/50)</f>
        <v>0</v>
      </c>
      <c r="J2452" s="2">
        <f>I2452 - INT(ROUND($B$4 * 30.4375, 0) * (49+0.5)/50)</f>
        <v>0</v>
      </c>
      <c r="K2452" s="4">
        <f>VLOOKUP(J2452, '1_Rate_Changes'!$A$2:$C$100, 3, TRUE)</f>
        <v>0</v>
      </c>
    </row>
    <row r="2453" spans="7:11">
      <c r="G2453">
        <v>49</v>
      </c>
      <c r="H2453">
        <v>0</v>
      </c>
      <c r="I2453" s="2">
        <f>INT(DATE($B$3,1,1) + (49+0.5)*365/50)</f>
        <v>0</v>
      </c>
      <c r="J2453" s="2">
        <f>I2453 - INT(ROUND($B$4 * 30.4375, 0) * (0+0.5)/50)</f>
        <v>0</v>
      </c>
      <c r="K2453" s="4">
        <f>VLOOKUP(J2453, '1_Rate_Changes'!$A$2:$C$100, 3, TRUE)</f>
        <v>0</v>
      </c>
    </row>
    <row r="2454" spans="7:11">
      <c r="G2454">
        <v>49</v>
      </c>
      <c r="H2454">
        <v>1</v>
      </c>
      <c r="I2454" s="2">
        <f>INT(DATE($B$3,1,1) + (49+0.5)*365/50)</f>
        <v>0</v>
      </c>
      <c r="J2454" s="2">
        <f>I2454 - INT(ROUND($B$4 * 30.4375, 0) * (1+0.5)/50)</f>
        <v>0</v>
      </c>
      <c r="K2454" s="4">
        <f>VLOOKUP(J2454, '1_Rate_Changes'!$A$2:$C$100, 3, TRUE)</f>
        <v>0</v>
      </c>
    </row>
    <row r="2455" spans="7:11">
      <c r="G2455">
        <v>49</v>
      </c>
      <c r="H2455">
        <v>2</v>
      </c>
      <c r="I2455" s="2">
        <f>INT(DATE($B$3,1,1) + (49+0.5)*365/50)</f>
        <v>0</v>
      </c>
      <c r="J2455" s="2">
        <f>I2455 - INT(ROUND($B$4 * 30.4375, 0) * (2+0.5)/50)</f>
        <v>0</v>
      </c>
      <c r="K2455" s="4">
        <f>VLOOKUP(J2455, '1_Rate_Changes'!$A$2:$C$100, 3, TRUE)</f>
        <v>0</v>
      </c>
    </row>
    <row r="2456" spans="7:11">
      <c r="G2456">
        <v>49</v>
      </c>
      <c r="H2456">
        <v>3</v>
      </c>
      <c r="I2456" s="2">
        <f>INT(DATE($B$3,1,1) + (49+0.5)*365/50)</f>
        <v>0</v>
      </c>
      <c r="J2456" s="2">
        <f>I2456 - INT(ROUND($B$4 * 30.4375, 0) * (3+0.5)/50)</f>
        <v>0</v>
      </c>
      <c r="K2456" s="4">
        <f>VLOOKUP(J2456, '1_Rate_Changes'!$A$2:$C$100, 3, TRUE)</f>
        <v>0</v>
      </c>
    </row>
    <row r="2457" spans="7:11">
      <c r="G2457">
        <v>49</v>
      </c>
      <c r="H2457">
        <v>4</v>
      </c>
      <c r="I2457" s="2">
        <f>INT(DATE($B$3,1,1) + (49+0.5)*365/50)</f>
        <v>0</v>
      </c>
      <c r="J2457" s="2">
        <f>I2457 - INT(ROUND($B$4 * 30.4375, 0) * (4+0.5)/50)</f>
        <v>0</v>
      </c>
      <c r="K2457" s="4">
        <f>VLOOKUP(J2457, '1_Rate_Changes'!$A$2:$C$100, 3, TRUE)</f>
        <v>0</v>
      </c>
    </row>
    <row r="2458" spans="7:11">
      <c r="G2458">
        <v>49</v>
      </c>
      <c r="H2458">
        <v>5</v>
      </c>
      <c r="I2458" s="2">
        <f>INT(DATE($B$3,1,1) + (49+0.5)*365/50)</f>
        <v>0</v>
      </c>
      <c r="J2458" s="2">
        <f>I2458 - INT(ROUND($B$4 * 30.4375, 0) * (5+0.5)/50)</f>
        <v>0</v>
      </c>
      <c r="K2458" s="4">
        <f>VLOOKUP(J2458, '1_Rate_Changes'!$A$2:$C$100, 3, TRUE)</f>
        <v>0</v>
      </c>
    </row>
    <row r="2459" spans="7:11">
      <c r="G2459">
        <v>49</v>
      </c>
      <c r="H2459">
        <v>6</v>
      </c>
      <c r="I2459" s="2">
        <f>INT(DATE($B$3,1,1) + (49+0.5)*365/50)</f>
        <v>0</v>
      </c>
      <c r="J2459" s="2">
        <f>I2459 - INT(ROUND($B$4 * 30.4375, 0) * (6+0.5)/50)</f>
        <v>0</v>
      </c>
      <c r="K2459" s="4">
        <f>VLOOKUP(J2459, '1_Rate_Changes'!$A$2:$C$100, 3, TRUE)</f>
        <v>0</v>
      </c>
    </row>
    <row r="2460" spans="7:11">
      <c r="G2460">
        <v>49</v>
      </c>
      <c r="H2460">
        <v>7</v>
      </c>
      <c r="I2460" s="2">
        <f>INT(DATE($B$3,1,1) + (49+0.5)*365/50)</f>
        <v>0</v>
      </c>
      <c r="J2460" s="2">
        <f>I2460 - INT(ROUND($B$4 * 30.4375, 0) * (7+0.5)/50)</f>
        <v>0</v>
      </c>
      <c r="K2460" s="4">
        <f>VLOOKUP(J2460, '1_Rate_Changes'!$A$2:$C$100, 3, TRUE)</f>
        <v>0</v>
      </c>
    </row>
    <row r="2461" spans="7:11">
      <c r="G2461">
        <v>49</v>
      </c>
      <c r="H2461">
        <v>8</v>
      </c>
      <c r="I2461" s="2">
        <f>INT(DATE($B$3,1,1) + (49+0.5)*365/50)</f>
        <v>0</v>
      </c>
      <c r="J2461" s="2">
        <f>I2461 - INT(ROUND($B$4 * 30.4375, 0) * (8+0.5)/50)</f>
        <v>0</v>
      </c>
      <c r="K2461" s="4">
        <f>VLOOKUP(J2461, '1_Rate_Changes'!$A$2:$C$100, 3, TRUE)</f>
        <v>0</v>
      </c>
    </row>
    <row r="2462" spans="7:11">
      <c r="G2462">
        <v>49</v>
      </c>
      <c r="H2462">
        <v>9</v>
      </c>
      <c r="I2462" s="2">
        <f>INT(DATE($B$3,1,1) + (49+0.5)*365/50)</f>
        <v>0</v>
      </c>
      <c r="J2462" s="2">
        <f>I2462 - INT(ROUND($B$4 * 30.4375, 0) * (9+0.5)/50)</f>
        <v>0</v>
      </c>
      <c r="K2462" s="4">
        <f>VLOOKUP(J2462, '1_Rate_Changes'!$A$2:$C$100, 3, TRUE)</f>
        <v>0</v>
      </c>
    </row>
    <row r="2463" spans="7:11">
      <c r="G2463">
        <v>49</v>
      </c>
      <c r="H2463">
        <v>10</v>
      </c>
      <c r="I2463" s="2">
        <f>INT(DATE($B$3,1,1) + (49+0.5)*365/50)</f>
        <v>0</v>
      </c>
      <c r="J2463" s="2">
        <f>I2463 - INT(ROUND($B$4 * 30.4375, 0) * (10+0.5)/50)</f>
        <v>0</v>
      </c>
      <c r="K2463" s="4">
        <f>VLOOKUP(J2463, '1_Rate_Changes'!$A$2:$C$100, 3, TRUE)</f>
        <v>0</v>
      </c>
    </row>
    <row r="2464" spans="7:11">
      <c r="G2464">
        <v>49</v>
      </c>
      <c r="H2464">
        <v>11</v>
      </c>
      <c r="I2464" s="2">
        <f>INT(DATE($B$3,1,1) + (49+0.5)*365/50)</f>
        <v>0</v>
      </c>
      <c r="J2464" s="2">
        <f>I2464 - INT(ROUND($B$4 * 30.4375, 0) * (11+0.5)/50)</f>
        <v>0</v>
      </c>
      <c r="K2464" s="4">
        <f>VLOOKUP(J2464, '1_Rate_Changes'!$A$2:$C$100, 3, TRUE)</f>
        <v>0</v>
      </c>
    </row>
    <row r="2465" spans="7:11">
      <c r="G2465">
        <v>49</v>
      </c>
      <c r="H2465">
        <v>12</v>
      </c>
      <c r="I2465" s="2">
        <f>INT(DATE($B$3,1,1) + (49+0.5)*365/50)</f>
        <v>0</v>
      </c>
      <c r="J2465" s="2">
        <f>I2465 - INT(ROUND($B$4 * 30.4375, 0) * (12+0.5)/50)</f>
        <v>0</v>
      </c>
      <c r="K2465" s="4">
        <f>VLOOKUP(J2465, '1_Rate_Changes'!$A$2:$C$100, 3, TRUE)</f>
        <v>0</v>
      </c>
    </row>
    <row r="2466" spans="7:11">
      <c r="G2466">
        <v>49</v>
      </c>
      <c r="H2466">
        <v>13</v>
      </c>
      <c r="I2466" s="2">
        <f>INT(DATE($B$3,1,1) + (49+0.5)*365/50)</f>
        <v>0</v>
      </c>
      <c r="J2466" s="2">
        <f>I2466 - INT(ROUND($B$4 * 30.4375, 0) * (13+0.5)/50)</f>
        <v>0</v>
      </c>
      <c r="K2466" s="4">
        <f>VLOOKUP(J2466, '1_Rate_Changes'!$A$2:$C$100, 3, TRUE)</f>
        <v>0</v>
      </c>
    </row>
    <row r="2467" spans="7:11">
      <c r="G2467">
        <v>49</v>
      </c>
      <c r="H2467">
        <v>14</v>
      </c>
      <c r="I2467" s="2">
        <f>INT(DATE($B$3,1,1) + (49+0.5)*365/50)</f>
        <v>0</v>
      </c>
      <c r="J2467" s="2">
        <f>I2467 - INT(ROUND($B$4 * 30.4375, 0) * (14+0.5)/50)</f>
        <v>0</v>
      </c>
      <c r="K2467" s="4">
        <f>VLOOKUP(J2467, '1_Rate_Changes'!$A$2:$C$100, 3, TRUE)</f>
        <v>0</v>
      </c>
    </row>
    <row r="2468" spans="7:11">
      <c r="G2468">
        <v>49</v>
      </c>
      <c r="H2468">
        <v>15</v>
      </c>
      <c r="I2468" s="2">
        <f>INT(DATE($B$3,1,1) + (49+0.5)*365/50)</f>
        <v>0</v>
      </c>
      <c r="J2468" s="2">
        <f>I2468 - INT(ROUND($B$4 * 30.4375, 0) * (15+0.5)/50)</f>
        <v>0</v>
      </c>
      <c r="K2468" s="4">
        <f>VLOOKUP(J2468, '1_Rate_Changes'!$A$2:$C$100, 3, TRUE)</f>
        <v>0</v>
      </c>
    </row>
    <row r="2469" spans="7:11">
      <c r="G2469">
        <v>49</v>
      </c>
      <c r="H2469">
        <v>16</v>
      </c>
      <c r="I2469" s="2">
        <f>INT(DATE($B$3,1,1) + (49+0.5)*365/50)</f>
        <v>0</v>
      </c>
      <c r="J2469" s="2">
        <f>I2469 - INT(ROUND($B$4 * 30.4375, 0) * (16+0.5)/50)</f>
        <v>0</v>
      </c>
      <c r="K2469" s="4">
        <f>VLOOKUP(J2469, '1_Rate_Changes'!$A$2:$C$100, 3, TRUE)</f>
        <v>0</v>
      </c>
    </row>
    <row r="2470" spans="7:11">
      <c r="G2470">
        <v>49</v>
      </c>
      <c r="H2470">
        <v>17</v>
      </c>
      <c r="I2470" s="2">
        <f>INT(DATE($B$3,1,1) + (49+0.5)*365/50)</f>
        <v>0</v>
      </c>
      <c r="J2470" s="2">
        <f>I2470 - INT(ROUND($B$4 * 30.4375, 0) * (17+0.5)/50)</f>
        <v>0</v>
      </c>
      <c r="K2470" s="4">
        <f>VLOOKUP(J2470, '1_Rate_Changes'!$A$2:$C$100, 3, TRUE)</f>
        <v>0</v>
      </c>
    </row>
    <row r="2471" spans="7:11">
      <c r="G2471">
        <v>49</v>
      </c>
      <c r="H2471">
        <v>18</v>
      </c>
      <c r="I2471" s="2">
        <f>INT(DATE($B$3,1,1) + (49+0.5)*365/50)</f>
        <v>0</v>
      </c>
      <c r="J2471" s="2">
        <f>I2471 - INT(ROUND($B$4 * 30.4375, 0) * (18+0.5)/50)</f>
        <v>0</v>
      </c>
      <c r="K2471" s="4">
        <f>VLOOKUP(J2471, '1_Rate_Changes'!$A$2:$C$100, 3, TRUE)</f>
        <v>0</v>
      </c>
    </row>
    <row r="2472" spans="7:11">
      <c r="G2472">
        <v>49</v>
      </c>
      <c r="H2472">
        <v>19</v>
      </c>
      <c r="I2472" s="2">
        <f>INT(DATE($B$3,1,1) + (49+0.5)*365/50)</f>
        <v>0</v>
      </c>
      <c r="J2472" s="2">
        <f>I2472 - INT(ROUND($B$4 * 30.4375, 0) * (19+0.5)/50)</f>
        <v>0</v>
      </c>
      <c r="K2472" s="4">
        <f>VLOOKUP(J2472, '1_Rate_Changes'!$A$2:$C$100, 3, TRUE)</f>
        <v>0</v>
      </c>
    </row>
    <row r="2473" spans="7:11">
      <c r="G2473">
        <v>49</v>
      </c>
      <c r="H2473">
        <v>20</v>
      </c>
      <c r="I2473" s="2">
        <f>INT(DATE($B$3,1,1) + (49+0.5)*365/50)</f>
        <v>0</v>
      </c>
      <c r="J2473" s="2">
        <f>I2473 - INT(ROUND($B$4 * 30.4375, 0) * (20+0.5)/50)</f>
        <v>0</v>
      </c>
      <c r="K2473" s="4">
        <f>VLOOKUP(J2473, '1_Rate_Changes'!$A$2:$C$100, 3, TRUE)</f>
        <v>0</v>
      </c>
    </row>
    <row r="2474" spans="7:11">
      <c r="G2474">
        <v>49</v>
      </c>
      <c r="H2474">
        <v>21</v>
      </c>
      <c r="I2474" s="2">
        <f>INT(DATE($B$3,1,1) + (49+0.5)*365/50)</f>
        <v>0</v>
      </c>
      <c r="J2474" s="2">
        <f>I2474 - INT(ROUND($B$4 * 30.4375, 0) * (21+0.5)/50)</f>
        <v>0</v>
      </c>
      <c r="K2474" s="4">
        <f>VLOOKUP(J2474, '1_Rate_Changes'!$A$2:$C$100, 3, TRUE)</f>
        <v>0</v>
      </c>
    </row>
    <row r="2475" spans="7:11">
      <c r="G2475">
        <v>49</v>
      </c>
      <c r="H2475">
        <v>22</v>
      </c>
      <c r="I2475" s="2">
        <f>INT(DATE($B$3,1,1) + (49+0.5)*365/50)</f>
        <v>0</v>
      </c>
      <c r="J2475" s="2">
        <f>I2475 - INT(ROUND($B$4 * 30.4375, 0) * (22+0.5)/50)</f>
        <v>0</v>
      </c>
      <c r="K2475" s="4">
        <f>VLOOKUP(J2475, '1_Rate_Changes'!$A$2:$C$100, 3, TRUE)</f>
        <v>0</v>
      </c>
    </row>
    <row r="2476" spans="7:11">
      <c r="G2476">
        <v>49</v>
      </c>
      <c r="H2476">
        <v>23</v>
      </c>
      <c r="I2476" s="2">
        <f>INT(DATE($B$3,1,1) + (49+0.5)*365/50)</f>
        <v>0</v>
      </c>
      <c r="J2476" s="2">
        <f>I2476 - INT(ROUND($B$4 * 30.4375, 0) * (23+0.5)/50)</f>
        <v>0</v>
      </c>
      <c r="K2476" s="4">
        <f>VLOOKUP(J2476, '1_Rate_Changes'!$A$2:$C$100, 3, TRUE)</f>
        <v>0</v>
      </c>
    </row>
    <row r="2477" spans="7:11">
      <c r="G2477">
        <v>49</v>
      </c>
      <c r="H2477">
        <v>24</v>
      </c>
      <c r="I2477" s="2">
        <f>INT(DATE($B$3,1,1) + (49+0.5)*365/50)</f>
        <v>0</v>
      </c>
      <c r="J2477" s="2">
        <f>I2477 - INT(ROUND($B$4 * 30.4375, 0) * (24+0.5)/50)</f>
        <v>0</v>
      </c>
      <c r="K2477" s="4">
        <f>VLOOKUP(J2477, '1_Rate_Changes'!$A$2:$C$100, 3, TRUE)</f>
        <v>0</v>
      </c>
    </row>
    <row r="2478" spans="7:11">
      <c r="G2478">
        <v>49</v>
      </c>
      <c r="H2478">
        <v>25</v>
      </c>
      <c r="I2478" s="2">
        <f>INT(DATE($B$3,1,1) + (49+0.5)*365/50)</f>
        <v>0</v>
      </c>
      <c r="J2478" s="2">
        <f>I2478 - INT(ROUND($B$4 * 30.4375, 0) * (25+0.5)/50)</f>
        <v>0</v>
      </c>
      <c r="K2478" s="4">
        <f>VLOOKUP(J2478, '1_Rate_Changes'!$A$2:$C$100, 3, TRUE)</f>
        <v>0</v>
      </c>
    </row>
    <row r="2479" spans="7:11">
      <c r="G2479">
        <v>49</v>
      </c>
      <c r="H2479">
        <v>26</v>
      </c>
      <c r="I2479" s="2">
        <f>INT(DATE($B$3,1,1) + (49+0.5)*365/50)</f>
        <v>0</v>
      </c>
      <c r="J2479" s="2">
        <f>I2479 - INT(ROUND($B$4 * 30.4375, 0) * (26+0.5)/50)</f>
        <v>0</v>
      </c>
      <c r="K2479" s="4">
        <f>VLOOKUP(J2479, '1_Rate_Changes'!$A$2:$C$100, 3, TRUE)</f>
        <v>0</v>
      </c>
    </row>
    <row r="2480" spans="7:11">
      <c r="G2480">
        <v>49</v>
      </c>
      <c r="H2480">
        <v>27</v>
      </c>
      <c r="I2480" s="2">
        <f>INT(DATE($B$3,1,1) + (49+0.5)*365/50)</f>
        <v>0</v>
      </c>
      <c r="J2480" s="2">
        <f>I2480 - INT(ROUND($B$4 * 30.4375, 0) * (27+0.5)/50)</f>
        <v>0</v>
      </c>
      <c r="K2480" s="4">
        <f>VLOOKUP(J2480, '1_Rate_Changes'!$A$2:$C$100, 3, TRUE)</f>
        <v>0</v>
      </c>
    </row>
    <row r="2481" spans="7:11">
      <c r="G2481">
        <v>49</v>
      </c>
      <c r="H2481">
        <v>28</v>
      </c>
      <c r="I2481" s="2">
        <f>INT(DATE($B$3,1,1) + (49+0.5)*365/50)</f>
        <v>0</v>
      </c>
      <c r="J2481" s="2">
        <f>I2481 - INT(ROUND($B$4 * 30.4375, 0) * (28+0.5)/50)</f>
        <v>0</v>
      </c>
      <c r="K2481" s="4">
        <f>VLOOKUP(J2481, '1_Rate_Changes'!$A$2:$C$100, 3, TRUE)</f>
        <v>0</v>
      </c>
    </row>
    <row r="2482" spans="7:11">
      <c r="G2482">
        <v>49</v>
      </c>
      <c r="H2482">
        <v>29</v>
      </c>
      <c r="I2482" s="2">
        <f>INT(DATE($B$3,1,1) + (49+0.5)*365/50)</f>
        <v>0</v>
      </c>
      <c r="J2482" s="2">
        <f>I2482 - INT(ROUND($B$4 * 30.4375, 0) * (29+0.5)/50)</f>
        <v>0</v>
      </c>
      <c r="K2482" s="4">
        <f>VLOOKUP(J2482, '1_Rate_Changes'!$A$2:$C$100, 3, TRUE)</f>
        <v>0</v>
      </c>
    </row>
    <row r="2483" spans="7:11">
      <c r="G2483">
        <v>49</v>
      </c>
      <c r="H2483">
        <v>30</v>
      </c>
      <c r="I2483" s="2">
        <f>INT(DATE($B$3,1,1) + (49+0.5)*365/50)</f>
        <v>0</v>
      </c>
      <c r="J2483" s="2">
        <f>I2483 - INT(ROUND($B$4 * 30.4375, 0) * (30+0.5)/50)</f>
        <v>0</v>
      </c>
      <c r="K2483" s="4">
        <f>VLOOKUP(J2483, '1_Rate_Changes'!$A$2:$C$100, 3, TRUE)</f>
        <v>0</v>
      </c>
    </row>
    <row r="2484" spans="7:11">
      <c r="G2484">
        <v>49</v>
      </c>
      <c r="H2484">
        <v>31</v>
      </c>
      <c r="I2484" s="2">
        <f>INT(DATE($B$3,1,1) + (49+0.5)*365/50)</f>
        <v>0</v>
      </c>
      <c r="J2484" s="2">
        <f>I2484 - INT(ROUND($B$4 * 30.4375, 0) * (31+0.5)/50)</f>
        <v>0</v>
      </c>
      <c r="K2484" s="4">
        <f>VLOOKUP(J2484, '1_Rate_Changes'!$A$2:$C$100, 3, TRUE)</f>
        <v>0</v>
      </c>
    </row>
    <row r="2485" spans="7:11">
      <c r="G2485">
        <v>49</v>
      </c>
      <c r="H2485">
        <v>32</v>
      </c>
      <c r="I2485" s="2">
        <f>INT(DATE($B$3,1,1) + (49+0.5)*365/50)</f>
        <v>0</v>
      </c>
      <c r="J2485" s="2">
        <f>I2485 - INT(ROUND($B$4 * 30.4375, 0) * (32+0.5)/50)</f>
        <v>0</v>
      </c>
      <c r="K2485" s="4">
        <f>VLOOKUP(J2485, '1_Rate_Changes'!$A$2:$C$100, 3, TRUE)</f>
        <v>0</v>
      </c>
    </row>
    <row r="2486" spans="7:11">
      <c r="G2486">
        <v>49</v>
      </c>
      <c r="H2486">
        <v>33</v>
      </c>
      <c r="I2486" s="2">
        <f>INT(DATE($B$3,1,1) + (49+0.5)*365/50)</f>
        <v>0</v>
      </c>
      <c r="J2486" s="2">
        <f>I2486 - INT(ROUND($B$4 * 30.4375, 0) * (33+0.5)/50)</f>
        <v>0</v>
      </c>
      <c r="K2486" s="4">
        <f>VLOOKUP(J2486, '1_Rate_Changes'!$A$2:$C$100, 3, TRUE)</f>
        <v>0</v>
      </c>
    </row>
    <row r="2487" spans="7:11">
      <c r="G2487">
        <v>49</v>
      </c>
      <c r="H2487">
        <v>34</v>
      </c>
      <c r="I2487" s="2">
        <f>INT(DATE($B$3,1,1) + (49+0.5)*365/50)</f>
        <v>0</v>
      </c>
      <c r="J2487" s="2">
        <f>I2487 - INT(ROUND($B$4 * 30.4375, 0) * (34+0.5)/50)</f>
        <v>0</v>
      </c>
      <c r="K2487" s="4">
        <f>VLOOKUP(J2487, '1_Rate_Changes'!$A$2:$C$100, 3, TRUE)</f>
        <v>0</v>
      </c>
    </row>
    <row r="2488" spans="7:11">
      <c r="G2488">
        <v>49</v>
      </c>
      <c r="H2488">
        <v>35</v>
      </c>
      <c r="I2488" s="2">
        <f>INT(DATE($B$3,1,1) + (49+0.5)*365/50)</f>
        <v>0</v>
      </c>
      <c r="J2488" s="2">
        <f>I2488 - INT(ROUND($B$4 * 30.4375, 0) * (35+0.5)/50)</f>
        <v>0</v>
      </c>
      <c r="K2488" s="4">
        <f>VLOOKUP(J2488, '1_Rate_Changes'!$A$2:$C$100, 3, TRUE)</f>
        <v>0</v>
      </c>
    </row>
    <row r="2489" spans="7:11">
      <c r="G2489">
        <v>49</v>
      </c>
      <c r="H2489">
        <v>36</v>
      </c>
      <c r="I2489" s="2">
        <f>INT(DATE($B$3,1,1) + (49+0.5)*365/50)</f>
        <v>0</v>
      </c>
      <c r="J2489" s="2">
        <f>I2489 - INT(ROUND($B$4 * 30.4375, 0) * (36+0.5)/50)</f>
        <v>0</v>
      </c>
      <c r="K2489" s="4">
        <f>VLOOKUP(J2489, '1_Rate_Changes'!$A$2:$C$100, 3, TRUE)</f>
        <v>0</v>
      </c>
    </row>
    <row r="2490" spans="7:11">
      <c r="G2490">
        <v>49</v>
      </c>
      <c r="H2490">
        <v>37</v>
      </c>
      <c r="I2490" s="2">
        <f>INT(DATE($B$3,1,1) + (49+0.5)*365/50)</f>
        <v>0</v>
      </c>
      <c r="J2490" s="2">
        <f>I2490 - INT(ROUND($B$4 * 30.4375, 0) * (37+0.5)/50)</f>
        <v>0</v>
      </c>
      <c r="K2490" s="4">
        <f>VLOOKUP(J2490, '1_Rate_Changes'!$A$2:$C$100, 3, TRUE)</f>
        <v>0</v>
      </c>
    </row>
    <row r="2491" spans="7:11">
      <c r="G2491">
        <v>49</v>
      </c>
      <c r="H2491">
        <v>38</v>
      </c>
      <c r="I2491" s="2">
        <f>INT(DATE($B$3,1,1) + (49+0.5)*365/50)</f>
        <v>0</v>
      </c>
      <c r="J2491" s="2">
        <f>I2491 - INT(ROUND($B$4 * 30.4375, 0) * (38+0.5)/50)</f>
        <v>0</v>
      </c>
      <c r="K2491" s="4">
        <f>VLOOKUP(J2491, '1_Rate_Changes'!$A$2:$C$100, 3, TRUE)</f>
        <v>0</v>
      </c>
    </row>
    <row r="2492" spans="7:11">
      <c r="G2492">
        <v>49</v>
      </c>
      <c r="H2492">
        <v>39</v>
      </c>
      <c r="I2492" s="2">
        <f>INT(DATE($B$3,1,1) + (49+0.5)*365/50)</f>
        <v>0</v>
      </c>
      <c r="J2492" s="2">
        <f>I2492 - INT(ROUND($B$4 * 30.4375, 0) * (39+0.5)/50)</f>
        <v>0</v>
      </c>
      <c r="K2492" s="4">
        <f>VLOOKUP(J2492, '1_Rate_Changes'!$A$2:$C$100, 3, TRUE)</f>
        <v>0</v>
      </c>
    </row>
    <row r="2493" spans="7:11">
      <c r="G2493">
        <v>49</v>
      </c>
      <c r="H2493">
        <v>40</v>
      </c>
      <c r="I2493" s="2">
        <f>INT(DATE($B$3,1,1) + (49+0.5)*365/50)</f>
        <v>0</v>
      </c>
      <c r="J2493" s="2">
        <f>I2493 - INT(ROUND($B$4 * 30.4375, 0) * (40+0.5)/50)</f>
        <v>0</v>
      </c>
      <c r="K2493" s="4">
        <f>VLOOKUP(J2493, '1_Rate_Changes'!$A$2:$C$100, 3, TRUE)</f>
        <v>0</v>
      </c>
    </row>
    <row r="2494" spans="7:11">
      <c r="G2494">
        <v>49</v>
      </c>
      <c r="H2494">
        <v>41</v>
      </c>
      <c r="I2494" s="2">
        <f>INT(DATE($B$3,1,1) + (49+0.5)*365/50)</f>
        <v>0</v>
      </c>
      <c r="J2494" s="2">
        <f>I2494 - INT(ROUND($B$4 * 30.4375, 0) * (41+0.5)/50)</f>
        <v>0</v>
      </c>
      <c r="K2494" s="4">
        <f>VLOOKUP(J2494, '1_Rate_Changes'!$A$2:$C$100, 3, TRUE)</f>
        <v>0</v>
      </c>
    </row>
    <row r="2495" spans="7:11">
      <c r="G2495">
        <v>49</v>
      </c>
      <c r="H2495">
        <v>42</v>
      </c>
      <c r="I2495" s="2">
        <f>INT(DATE($B$3,1,1) + (49+0.5)*365/50)</f>
        <v>0</v>
      </c>
      <c r="J2495" s="2">
        <f>I2495 - INT(ROUND($B$4 * 30.4375, 0) * (42+0.5)/50)</f>
        <v>0</v>
      </c>
      <c r="K2495" s="4">
        <f>VLOOKUP(J2495, '1_Rate_Changes'!$A$2:$C$100, 3, TRUE)</f>
        <v>0</v>
      </c>
    </row>
    <row r="2496" spans="7:11">
      <c r="G2496">
        <v>49</v>
      </c>
      <c r="H2496">
        <v>43</v>
      </c>
      <c r="I2496" s="2">
        <f>INT(DATE($B$3,1,1) + (49+0.5)*365/50)</f>
        <v>0</v>
      </c>
      <c r="J2496" s="2">
        <f>I2496 - INT(ROUND($B$4 * 30.4375, 0) * (43+0.5)/50)</f>
        <v>0</v>
      </c>
      <c r="K2496" s="4">
        <f>VLOOKUP(J2496, '1_Rate_Changes'!$A$2:$C$100, 3, TRUE)</f>
        <v>0</v>
      </c>
    </row>
    <row r="2497" spans="7:11">
      <c r="G2497">
        <v>49</v>
      </c>
      <c r="H2497">
        <v>44</v>
      </c>
      <c r="I2497" s="2">
        <f>INT(DATE($B$3,1,1) + (49+0.5)*365/50)</f>
        <v>0</v>
      </c>
      <c r="J2497" s="2">
        <f>I2497 - INT(ROUND($B$4 * 30.4375, 0) * (44+0.5)/50)</f>
        <v>0</v>
      </c>
      <c r="K2497" s="4">
        <f>VLOOKUP(J2497, '1_Rate_Changes'!$A$2:$C$100, 3, TRUE)</f>
        <v>0</v>
      </c>
    </row>
    <row r="2498" spans="7:11">
      <c r="G2498">
        <v>49</v>
      </c>
      <c r="H2498">
        <v>45</v>
      </c>
      <c r="I2498" s="2">
        <f>INT(DATE($B$3,1,1) + (49+0.5)*365/50)</f>
        <v>0</v>
      </c>
      <c r="J2498" s="2">
        <f>I2498 - INT(ROUND($B$4 * 30.4375, 0) * (45+0.5)/50)</f>
        <v>0</v>
      </c>
      <c r="K2498" s="4">
        <f>VLOOKUP(J2498, '1_Rate_Changes'!$A$2:$C$100, 3, TRUE)</f>
        <v>0</v>
      </c>
    </row>
    <row r="2499" spans="7:11">
      <c r="G2499">
        <v>49</v>
      </c>
      <c r="H2499">
        <v>46</v>
      </c>
      <c r="I2499" s="2">
        <f>INT(DATE($B$3,1,1) + (49+0.5)*365/50)</f>
        <v>0</v>
      </c>
      <c r="J2499" s="2">
        <f>I2499 - INT(ROUND($B$4 * 30.4375, 0) * (46+0.5)/50)</f>
        <v>0</v>
      </c>
      <c r="K2499" s="4">
        <f>VLOOKUP(J2499, '1_Rate_Changes'!$A$2:$C$100, 3, TRUE)</f>
        <v>0</v>
      </c>
    </row>
    <row r="2500" spans="7:11">
      <c r="G2500">
        <v>49</v>
      </c>
      <c r="H2500">
        <v>47</v>
      </c>
      <c r="I2500" s="2">
        <f>INT(DATE($B$3,1,1) + (49+0.5)*365/50)</f>
        <v>0</v>
      </c>
      <c r="J2500" s="2">
        <f>I2500 - INT(ROUND($B$4 * 30.4375, 0) * (47+0.5)/50)</f>
        <v>0</v>
      </c>
      <c r="K2500" s="4">
        <f>VLOOKUP(J2500, '1_Rate_Changes'!$A$2:$C$100, 3, TRUE)</f>
        <v>0</v>
      </c>
    </row>
    <row r="2501" spans="7:11">
      <c r="G2501">
        <v>49</v>
      </c>
      <c r="H2501">
        <v>48</v>
      </c>
      <c r="I2501" s="2">
        <f>INT(DATE($B$3,1,1) + (49+0.5)*365/50)</f>
        <v>0</v>
      </c>
      <c r="J2501" s="2">
        <f>I2501 - INT(ROUND($B$4 * 30.4375, 0) * (48+0.5)/50)</f>
        <v>0</v>
      </c>
      <c r="K2501" s="4">
        <f>VLOOKUP(J2501, '1_Rate_Changes'!$A$2:$C$100, 3, TRUE)</f>
        <v>0</v>
      </c>
    </row>
    <row r="2502" spans="7:11">
      <c r="G2502">
        <v>49</v>
      </c>
      <c r="H2502">
        <v>49</v>
      </c>
      <c r="I2502" s="2">
        <f>INT(DATE($B$3,1,1) + (49+0.5)*365/50)</f>
        <v>0</v>
      </c>
      <c r="J2502" s="2">
        <f>I2502 - INT(ROUND($B$4 * 30.4375, 0) * (49+0.5)/50)</f>
        <v>0</v>
      </c>
      <c r="K2502" s="4">
        <f>VLOOKUP(J2502, '1_Rate_Changes'!$A$2:$C$100, 3, TRUE)</f>
        <v>0</v>
      </c>
    </row>
    <row r="2503" spans="7:11">
      <c r="J2503" s="5" t="s">
        <v>52</v>
      </c>
      <c r="K2503" s="4">
        <f>AVERAGE(K3:K2502)</f>
        <v>0</v>
      </c>
    </row>
    <row r="2504" spans="7:11">
      <c r="J2504" s="5" t="s">
        <v>53</v>
      </c>
      <c r="K2504" s="4">
        <f>$B$5/K2503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1_Rate_Changes</vt:lpstr>
      <vt:lpstr>2_Policy_Level (engine)</vt:lpstr>
      <vt:lpstr>3_Aggregated (parallel)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2026-03-23T17:00:29Z</dcterms:created>
  <dcterms:modified xsi:type="dcterms:W3CDTF">2026-03-23T17:00:29Z</dcterms:modified>
</cp:coreProperties>
</file>